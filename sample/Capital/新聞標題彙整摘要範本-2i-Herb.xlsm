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915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Data/Users/herb/git/WiSe_based/Robot/sample/Capital/"/>
    </mc:Choice>
  </mc:AlternateContent>
  <bookViews>
    <workbookView xWindow="0" yWindow="460" windowWidth="28800" windowHeight="17460" activeTab="1"/>
  </bookViews>
  <sheets>
    <sheet name="總表" sheetId="16" r:id="rId1"/>
    <sheet name="範本" sheetId="15" r:id="rId2"/>
    <sheet name="電子時報" sheetId="3" r:id="rId3"/>
    <sheet name="工商時報" sheetId="4" r:id="rId4"/>
    <sheet name="工商個股" sheetId="8" r:id="rId5"/>
    <sheet name="工商個股2" sheetId="9" r:id="rId6"/>
    <sheet name="經濟日報" sheetId="5" r:id="rId7"/>
    <sheet name="經濟個股" sheetId="11" r:id="rId8"/>
    <sheet name="法買賣" sheetId="12" r:id="rId9"/>
  </sheets>
  <definedNames>
    <definedName name="_6644" localSheetId="6">經濟日報!$B$2:$F$314</definedName>
    <definedName name="_6645" localSheetId="7">經濟個股!$C$2:$H$315</definedName>
    <definedName name="_xlnm._FilterDatabase" localSheetId="4" hidden="1">工商個股!$A$2:$C$300</definedName>
    <definedName name="_xlnm._FilterDatabase" localSheetId="5" hidden="1">工商個股2!$A$2:$C$292</definedName>
    <definedName name="_xlnm._FilterDatabase" localSheetId="3" hidden="1">工商時報!$A$2:$H$306</definedName>
    <definedName name="_xlnm._FilterDatabase" localSheetId="8" hidden="1">法買賣!$A$2:$H$3</definedName>
    <definedName name="_xlnm._FilterDatabase" localSheetId="6" hidden="1">經濟日報!$B$1:$F$314</definedName>
    <definedName name="_xlnm._FilterDatabase" localSheetId="7" hidden="1">經濟個股!$A$2:$H$316</definedName>
    <definedName name="_xlnm._FilterDatabase" localSheetId="2" hidden="1">電子時報!$A$2:$C$209</definedName>
    <definedName name="AUpdate">1</definedName>
    <definedName name="BUpdate">1</definedName>
    <definedName name="dtpage_cold" localSheetId="2">電子時報!$B$2:$AO$125</definedName>
    <definedName name="focus" localSheetId="3">工商時報!$C$2:$C$172</definedName>
    <definedName name="GUpdate">0</definedName>
    <definedName name="securities" localSheetId="4">工商個股!$C$2:$C$172</definedName>
    <definedName name="securities?page_2" localSheetId="5">工商個股2!$C$2:$C$172</definedName>
    <definedName name="TUpdate">1</definedName>
    <definedName name="XX_TEJ1">#REF!</definedName>
    <definedName name="XX_TEJ2">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5" l="1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I501" i="12"/>
  <c r="I502" i="12"/>
  <c r="I503" i="12"/>
  <c r="I504" i="12"/>
  <c r="I505" i="12"/>
  <c r="I506" i="12"/>
  <c r="I507" i="12"/>
  <c r="I508" i="12"/>
  <c r="I509" i="12"/>
  <c r="I510" i="12"/>
  <c r="I511" i="12"/>
  <c r="I512" i="12"/>
  <c r="I513" i="12"/>
  <c r="I514" i="12"/>
  <c r="I515" i="12"/>
  <c r="I516" i="12"/>
  <c r="I517" i="12"/>
  <c r="I518" i="12"/>
  <c r="I519" i="12"/>
  <c r="I520" i="12"/>
  <c r="I521" i="12"/>
  <c r="I522" i="12"/>
  <c r="I523" i="12"/>
  <c r="I524" i="12"/>
  <c r="I525" i="12"/>
  <c r="I526" i="12"/>
  <c r="I527" i="12"/>
  <c r="I528" i="12"/>
  <c r="I529" i="12"/>
  <c r="I530" i="12"/>
  <c r="I531" i="12"/>
  <c r="I532" i="12"/>
  <c r="I533" i="12"/>
  <c r="I534" i="12"/>
  <c r="I535" i="12"/>
  <c r="I536" i="12"/>
  <c r="I537" i="12"/>
  <c r="I538" i="12"/>
  <c r="I539" i="12"/>
  <c r="I540" i="12"/>
  <c r="I541" i="12"/>
  <c r="I542" i="12"/>
  <c r="I543" i="12"/>
  <c r="I544" i="12"/>
  <c r="I545" i="12"/>
  <c r="I546" i="12"/>
  <c r="I547" i="12"/>
  <c r="I548" i="12"/>
  <c r="I549" i="12"/>
  <c r="I550" i="12"/>
  <c r="I551" i="12"/>
  <c r="I552" i="12"/>
  <c r="I553" i="12"/>
  <c r="I554" i="12"/>
  <c r="I555" i="12"/>
  <c r="I556" i="12"/>
  <c r="I557" i="12"/>
  <c r="I558" i="12"/>
  <c r="I559" i="12"/>
  <c r="I560" i="12"/>
  <c r="I561" i="12"/>
  <c r="I562" i="12"/>
  <c r="I563" i="12"/>
  <c r="I564" i="12"/>
  <c r="I565" i="12"/>
  <c r="I566" i="12"/>
  <c r="I567" i="12"/>
  <c r="I568" i="12"/>
  <c r="I569" i="12"/>
  <c r="I570" i="12"/>
  <c r="I571" i="12"/>
  <c r="I572" i="12"/>
  <c r="I573" i="12"/>
  <c r="I574" i="12"/>
  <c r="I575" i="12"/>
  <c r="I576" i="12"/>
  <c r="I577" i="12"/>
  <c r="I578" i="12"/>
  <c r="I579" i="12"/>
  <c r="I580" i="12"/>
  <c r="I581" i="12"/>
  <c r="I582" i="12"/>
  <c r="I583" i="12"/>
  <c r="I584" i="12"/>
  <c r="I585" i="12"/>
  <c r="I586" i="12"/>
  <c r="I587" i="12"/>
  <c r="I588" i="12"/>
  <c r="I589" i="12"/>
  <c r="I590" i="12"/>
  <c r="I591" i="12"/>
  <c r="I592" i="12"/>
  <c r="I593" i="12"/>
  <c r="I594" i="12"/>
  <c r="I595" i="12"/>
  <c r="I596" i="12"/>
  <c r="I597" i="12"/>
  <c r="I598" i="12"/>
  <c r="I599" i="12"/>
  <c r="I600" i="12"/>
  <c r="I601" i="12"/>
  <c r="I602" i="12"/>
  <c r="I603" i="12"/>
  <c r="I604" i="12"/>
  <c r="I605" i="12"/>
  <c r="I606" i="12"/>
  <c r="I607" i="12"/>
  <c r="I608" i="12"/>
  <c r="I609" i="12"/>
  <c r="I610" i="12"/>
  <c r="I611" i="12"/>
  <c r="I612" i="12"/>
  <c r="I613" i="12"/>
  <c r="I614" i="12"/>
  <c r="I615" i="12"/>
  <c r="I616" i="12"/>
  <c r="I617" i="12"/>
  <c r="I618" i="12"/>
  <c r="I619" i="12"/>
  <c r="I620" i="12"/>
  <c r="I621" i="12"/>
  <c r="I622" i="12"/>
  <c r="I623" i="12"/>
  <c r="I624" i="12"/>
  <c r="I625" i="12"/>
  <c r="I626" i="12"/>
  <c r="I627" i="12"/>
  <c r="I628" i="12"/>
  <c r="I629" i="12"/>
  <c r="I630" i="12"/>
  <c r="I631" i="12"/>
  <c r="I632" i="12"/>
  <c r="I633" i="12"/>
  <c r="I634" i="12"/>
  <c r="I635" i="12"/>
  <c r="I636" i="12"/>
  <c r="I637" i="12"/>
  <c r="I638" i="12"/>
  <c r="I639" i="12"/>
  <c r="I640" i="12"/>
  <c r="I641" i="12"/>
  <c r="I642" i="12"/>
  <c r="I643" i="12"/>
  <c r="I644" i="12"/>
  <c r="I645" i="12"/>
  <c r="I646" i="12"/>
  <c r="I647" i="12"/>
  <c r="I648" i="12"/>
  <c r="I649" i="12"/>
  <c r="I650" i="12"/>
  <c r="I651" i="12"/>
  <c r="I652" i="12"/>
  <c r="I653" i="12"/>
  <c r="I654" i="12"/>
  <c r="I655" i="12"/>
  <c r="I656" i="12"/>
  <c r="I657" i="12"/>
  <c r="I658" i="12"/>
  <c r="I659" i="12"/>
  <c r="I660" i="12"/>
  <c r="I661" i="12"/>
  <c r="I662" i="12"/>
  <c r="I663" i="12"/>
  <c r="I664" i="12"/>
  <c r="I665" i="12"/>
  <c r="I666" i="12"/>
  <c r="I667" i="12"/>
  <c r="I668" i="12"/>
  <c r="I669" i="12"/>
  <c r="I670" i="12"/>
  <c r="I671" i="12"/>
  <c r="I672" i="12"/>
  <c r="I673" i="12"/>
  <c r="I674" i="12"/>
  <c r="I675" i="12"/>
  <c r="I676" i="12"/>
  <c r="I677" i="12"/>
  <c r="I678" i="12"/>
  <c r="I679" i="12"/>
  <c r="I680" i="12"/>
  <c r="I681" i="12"/>
  <c r="I682" i="12"/>
  <c r="I683" i="12"/>
  <c r="I684" i="12"/>
  <c r="I685" i="12"/>
  <c r="I686" i="12"/>
  <c r="I687" i="12"/>
  <c r="I688" i="12"/>
  <c r="I689" i="12"/>
  <c r="I690" i="12"/>
  <c r="I691" i="12"/>
  <c r="I692" i="12"/>
  <c r="I693" i="12"/>
  <c r="I694" i="12"/>
  <c r="I695" i="12"/>
  <c r="I696" i="12"/>
  <c r="I697" i="12"/>
  <c r="I698" i="12"/>
  <c r="I699" i="12"/>
  <c r="I700" i="12"/>
  <c r="I701" i="12"/>
  <c r="I702" i="12"/>
  <c r="I703" i="12"/>
  <c r="I704" i="12"/>
  <c r="I705" i="12"/>
  <c r="I706" i="12"/>
  <c r="I707" i="12"/>
  <c r="I708" i="12"/>
  <c r="I709" i="12"/>
  <c r="I710" i="12"/>
  <c r="I711" i="12"/>
  <c r="I712" i="12"/>
  <c r="I713" i="12"/>
  <c r="I714" i="12"/>
  <c r="I715" i="12"/>
  <c r="I716" i="12"/>
  <c r="I717" i="12"/>
  <c r="I718" i="12"/>
  <c r="I719" i="12"/>
  <c r="I720" i="12"/>
  <c r="I721" i="12"/>
  <c r="I722" i="12"/>
  <c r="I723" i="12"/>
  <c r="I724" i="12"/>
  <c r="I725" i="12"/>
  <c r="I726" i="12"/>
  <c r="I727" i="12"/>
  <c r="I728" i="12"/>
  <c r="I729" i="12"/>
  <c r="I730" i="12"/>
  <c r="I731" i="12"/>
  <c r="I732" i="12"/>
  <c r="I733" i="12"/>
  <c r="I734" i="12"/>
  <c r="I735" i="12"/>
  <c r="I736" i="12"/>
  <c r="I737" i="12"/>
  <c r="I738" i="12"/>
  <c r="I739" i="12"/>
  <c r="I740" i="12"/>
  <c r="I741" i="12"/>
  <c r="I742" i="12"/>
  <c r="I743" i="12"/>
  <c r="I744" i="12"/>
  <c r="I745" i="12"/>
  <c r="I746" i="12"/>
  <c r="I747" i="12"/>
  <c r="I748" i="12"/>
  <c r="I749" i="12"/>
  <c r="I750" i="12"/>
  <c r="I751" i="12"/>
  <c r="I752" i="12"/>
  <c r="I753" i="12"/>
  <c r="I754" i="12"/>
  <c r="I755" i="12"/>
  <c r="I756" i="12"/>
  <c r="I757" i="12"/>
  <c r="I758" i="12"/>
  <c r="I759" i="12"/>
  <c r="I760" i="12"/>
  <c r="I761" i="12"/>
  <c r="I762" i="12"/>
  <c r="I763" i="12"/>
  <c r="I764" i="12"/>
  <c r="I765" i="12"/>
  <c r="I766" i="12"/>
  <c r="I767" i="12"/>
  <c r="I768" i="12"/>
  <c r="I769" i="12"/>
  <c r="I770" i="12"/>
  <c r="I771" i="12"/>
  <c r="I772" i="12"/>
  <c r="I773" i="12"/>
  <c r="I774" i="12"/>
  <c r="I775" i="12"/>
  <c r="I776" i="12"/>
  <c r="I777" i="12"/>
  <c r="I778" i="12"/>
  <c r="I779" i="12"/>
  <c r="I780" i="12"/>
  <c r="I781" i="12"/>
  <c r="I782" i="12"/>
  <c r="I783" i="12"/>
  <c r="I784" i="12"/>
  <c r="I785" i="12"/>
  <c r="I786" i="12"/>
  <c r="I787" i="12"/>
  <c r="I788" i="12"/>
  <c r="I789" i="12"/>
  <c r="I790" i="12"/>
  <c r="I791" i="12"/>
  <c r="I792" i="12"/>
  <c r="I793" i="12"/>
  <c r="I794" i="12"/>
  <c r="I795" i="12"/>
  <c r="I796" i="12"/>
  <c r="I797" i="12"/>
  <c r="I798" i="12"/>
  <c r="I799" i="12"/>
  <c r="I800" i="12"/>
  <c r="I801" i="12"/>
  <c r="I802" i="12"/>
  <c r="I803" i="12"/>
  <c r="I804" i="12"/>
  <c r="I805" i="12"/>
  <c r="I806" i="12"/>
  <c r="I807" i="12"/>
  <c r="I808" i="12"/>
  <c r="I809" i="12"/>
  <c r="I810" i="12"/>
  <c r="I811" i="12"/>
  <c r="I812" i="12"/>
  <c r="I813" i="12"/>
  <c r="I814" i="12"/>
  <c r="I815" i="12"/>
  <c r="I816" i="12"/>
  <c r="I817" i="12"/>
  <c r="I818" i="12"/>
  <c r="I819" i="12"/>
  <c r="I820" i="12"/>
  <c r="I821" i="12"/>
  <c r="I822" i="12"/>
  <c r="I823" i="12"/>
  <c r="I824" i="12"/>
  <c r="I825" i="12"/>
  <c r="I826" i="12"/>
  <c r="I827" i="12"/>
  <c r="I828" i="12"/>
  <c r="I829" i="12"/>
  <c r="I830" i="12"/>
  <c r="I831" i="12"/>
  <c r="I832" i="12"/>
  <c r="I833" i="12"/>
  <c r="I834" i="12"/>
  <c r="I835" i="12"/>
  <c r="I836" i="12"/>
  <c r="I837" i="12"/>
  <c r="I838" i="12"/>
  <c r="I839" i="12"/>
  <c r="I840" i="12"/>
  <c r="I841" i="12"/>
  <c r="I842" i="12"/>
  <c r="I843" i="12"/>
  <c r="I844" i="12"/>
  <c r="I845" i="12"/>
  <c r="I846" i="12"/>
  <c r="I847" i="12"/>
  <c r="I848" i="12"/>
  <c r="I849" i="12"/>
  <c r="I850" i="12"/>
  <c r="I851" i="12"/>
  <c r="I852" i="12"/>
  <c r="I853" i="12"/>
  <c r="I854" i="12"/>
  <c r="I855" i="12"/>
  <c r="I856" i="12"/>
  <c r="I857" i="12"/>
  <c r="I858" i="12"/>
  <c r="I859" i="12"/>
  <c r="I860" i="12"/>
  <c r="I861" i="12"/>
  <c r="I862" i="12"/>
  <c r="I863" i="12"/>
  <c r="I864" i="12"/>
  <c r="I865" i="12"/>
  <c r="I866" i="12"/>
  <c r="I867" i="12"/>
  <c r="I868" i="12"/>
  <c r="I869" i="12"/>
  <c r="I870" i="12"/>
  <c r="I871" i="12"/>
  <c r="I872" i="12"/>
  <c r="I873" i="12"/>
  <c r="I874" i="12"/>
  <c r="I875" i="12"/>
  <c r="I876" i="12"/>
  <c r="I877" i="12"/>
  <c r="I878" i="12"/>
  <c r="I879" i="12"/>
  <c r="I880" i="12"/>
  <c r="I881" i="12"/>
  <c r="I882" i="12"/>
  <c r="I883" i="12"/>
  <c r="I884" i="12"/>
  <c r="I885" i="12"/>
  <c r="I886" i="12"/>
  <c r="I887" i="12"/>
  <c r="I888" i="12"/>
  <c r="I889" i="12"/>
  <c r="I890" i="12"/>
  <c r="I891" i="12"/>
  <c r="I892" i="12"/>
  <c r="I893" i="12"/>
  <c r="I894" i="12"/>
  <c r="I895" i="12"/>
  <c r="I896" i="12"/>
  <c r="I897" i="12"/>
  <c r="I898" i="12"/>
  <c r="I899" i="12"/>
  <c r="I900" i="12"/>
  <c r="I901" i="12"/>
  <c r="I902" i="12"/>
  <c r="I903" i="12"/>
  <c r="I904" i="12"/>
  <c r="I905" i="12"/>
  <c r="I906" i="12"/>
  <c r="I907" i="12"/>
  <c r="I908" i="12"/>
  <c r="I909" i="12"/>
  <c r="I910" i="12"/>
  <c r="I911" i="12"/>
  <c r="I912" i="12"/>
  <c r="I913" i="12"/>
  <c r="I914" i="12"/>
  <c r="I915" i="12"/>
  <c r="I916" i="12"/>
  <c r="I917" i="12"/>
  <c r="I918" i="12"/>
  <c r="I919" i="12"/>
  <c r="I920" i="12"/>
  <c r="I921" i="12"/>
  <c r="I922" i="12"/>
  <c r="I923" i="12"/>
  <c r="I924" i="12"/>
  <c r="I925" i="12"/>
  <c r="I926" i="12"/>
  <c r="I927" i="12"/>
  <c r="I928" i="12"/>
  <c r="I929" i="12"/>
  <c r="I930" i="12"/>
  <c r="I931" i="12"/>
  <c r="I932" i="12"/>
  <c r="I933" i="12"/>
  <c r="I934" i="12"/>
  <c r="I935" i="12"/>
  <c r="I936" i="12"/>
  <c r="I937" i="12"/>
  <c r="I938" i="12"/>
  <c r="I939" i="12"/>
  <c r="I940" i="12"/>
  <c r="I941" i="12"/>
  <c r="I942" i="12"/>
  <c r="I943" i="12"/>
  <c r="I944" i="12"/>
  <c r="I945" i="12"/>
  <c r="I946" i="12"/>
  <c r="I947" i="12"/>
  <c r="I948" i="12"/>
  <c r="I949" i="12"/>
  <c r="I950" i="12"/>
  <c r="I951" i="12"/>
  <c r="I952" i="12"/>
  <c r="I953" i="12"/>
  <c r="I954" i="12"/>
  <c r="I955" i="12"/>
  <c r="I956" i="12"/>
  <c r="I957" i="12"/>
  <c r="I958" i="12"/>
  <c r="I959" i="12"/>
  <c r="I960" i="12"/>
  <c r="I961" i="12"/>
  <c r="I962" i="12"/>
  <c r="I963" i="12"/>
  <c r="I964" i="12"/>
  <c r="I965" i="12"/>
  <c r="I966" i="12"/>
  <c r="I967" i="12"/>
  <c r="I968" i="12"/>
  <c r="I969" i="12"/>
  <c r="I970" i="12"/>
  <c r="I971" i="12"/>
  <c r="I972" i="12"/>
  <c r="I973" i="12"/>
  <c r="I974" i="12"/>
  <c r="I975" i="12"/>
  <c r="I976" i="12"/>
  <c r="I977" i="12"/>
  <c r="I978" i="12"/>
  <c r="I979" i="12"/>
  <c r="I980" i="12"/>
  <c r="I981" i="12"/>
  <c r="I982" i="12"/>
  <c r="I983" i="12"/>
  <c r="I984" i="12"/>
  <c r="I985" i="12"/>
  <c r="I986" i="12"/>
  <c r="I987" i="12"/>
  <c r="I988" i="12"/>
  <c r="I989" i="12"/>
  <c r="I990" i="12"/>
  <c r="I991" i="12"/>
  <c r="I992" i="12"/>
  <c r="I993" i="12"/>
  <c r="I994" i="12"/>
  <c r="I995" i="12"/>
  <c r="I996" i="12"/>
  <c r="I997" i="12"/>
  <c r="I998" i="12"/>
  <c r="I999" i="12"/>
  <c r="I1000" i="12"/>
  <c r="I1001" i="12"/>
  <c r="I1002" i="12"/>
  <c r="I1003" i="12"/>
  <c r="I1004" i="12"/>
  <c r="I1005" i="12"/>
  <c r="I1006" i="12"/>
  <c r="I1007" i="12"/>
  <c r="I1008" i="12"/>
  <c r="I1009" i="12"/>
  <c r="I1010" i="12"/>
  <c r="I1011" i="12"/>
  <c r="I1012" i="12"/>
  <c r="I1013" i="12"/>
  <c r="I1014" i="12"/>
  <c r="I1015" i="12"/>
  <c r="I1016" i="12"/>
  <c r="I1017" i="12"/>
  <c r="I1018" i="12"/>
  <c r="I1019" i="12"/>
  <c r="I1020" i="12"/>
  <c r="I1021" i="12"/>
  <c r="I1022" i="12"/>
  <c r="I1023" i="12"/>
  <c r="I1024" i="12"/>
  <c r="I1025" i="12"/>
  <c r="I1026" i="12"/>
  <c r="I1027" i="12"/>
  <c r="I1028" i="12"/>
  <c r="I1029" i="12"/>
  <c r="I1030" i="12"/>
  <c r="I1031" i="12"/>
  <c r="I1032" i="12"/>
  <c r="I1033" i="12"/>
  <c r="I1034" i="12"/>
  <c r="I1035" i="12"/>
  <c r="I1036" i="12"/>
  <c r="I1037" i="12"/>
  <c r="I1038" i="12"/>
  <c r="I1039" i="12"/>
  <c r="I1040" i="12"/>
  <c r="I1041" i="12"/>
  <c r="I1042" i="12"/>
  <c r="I1043" i="12"/>
  <c r="I1044" i="12"/>
  <c r="I1045" i="12"/>
  <c r="I1046" i="12"/>
  <c r="I1047" i="12"/>
  <c r="I1048" i="12"/>
  <c r="I1049" i="12"/>
  <c r="I1050" i="12"/>
  <c r="I1051" i="12"/>
  <c r="I1052" i="12"/>
  <c r="I1053" i="12"/>
  <c r="I1054" i="12"/>
  <c r="I1055" i="12"/>
  <c r="I1056" i="12"/>
  <c r="I1057" i="12"/>
  <c r="I1058" i="12"/>
  <c r="I1059" i="12"/>
  <c r="I1060" i="12"/>
  <c r="I1061" i="12"/>
  <c r="I1062" i="12"/>
  <c r="I1063" i="12"/>
  <c r="I1064" i="12"/>
  <c r="I1065" i="12"/>
  <c r="I1066" i="12"/>
  <c r="I1067" i="12"/>
  <c r="I1068" i="12"/>
  <c r="I1069" i="12"/>
  <c r="I1070" i="12"/>
  <c r="I1071" i="12"/>
  <c r="I1072" i="12"/>
  <c r="I1073" i="12"/>
  <c r="I1074" i="12"/>
  <c r="I1075" i="12"/>
  <c r="I1076" i="12"/>
  <c r="I1077" i="12"/>
  <c r="I1078" i="12"/>
  <c r="I1079" i="12"/>
  <c r="I1080" i="12"/>
  <c r="I1081" i="12"/>
  <c r="I1082" i="12"/>
  <c r="I1083" i="12"/>
  <c r="I1084" i="12"/>
  <c r="I1085" i="12"/>
  <c r="I1086" i="12"/>
  <c r="I1087" i="12"/>
  <c r="I1088" i="12"/>
  <c r="I1089" i="12"/>
  <c r="I1090" i="12"/>
  <c r="I1091" i="12"/>
  <c r="I1092" i="12"/>
  <c r="I1093" i="12"/>
  <c r="I1094" i="12"/>
  <c r="I1095" i="12"/>
  <c r="I1096" i="12"/>
  <c r="I1097" i="12"/>
  <c r="I1098" i="12"/>
  <c r="I1099" i="12"/>
  <c r="I1100" i="12"/>
  <c r="I1101" i="12"/>
  <c r="I1102" i="12"/>
  <c r="I1103" i="12"/>
  <c r="I1104" i="12"/>
  <c r="I1105" i="12"/>
  <c r="I1106" i="12"/>
  <c r="I1107" i="12"/>
  <c r="I1108" i="12"/>
  <c r="I1109" i="12"/>
  <c r="I1110" i="12"/>
  <c r="I1111" i="12"/>
  <c r="I1112" i="12"/>
  <c r="I1113" i="12"/>
  <c r="I1114" i="12"/>
  <c r="I1115" i="12"/>
  <c r="I1116" i="12"/>
  <c r="I1117" i="12"/>
  <c r="I1118" i="12"/>
  <c r="I1119" i="12"/>
  <c r="I1120" i="12"/>
  <c r="I1121" i="12"/>
  <c r="I1122" i="12"/>
  <c r="I1123" i="12"/>
  <c r="I1124" i="12"/>
  <c r="I1125" i="12"/>
  <c r="I1126" i="12"/>
  <c r="I1127" i="12"/>
  <c r="I1128" i="12"/>
  <c r="I1129" i="12"/>
  <c r="I1130" i="12"/>
  <c r="I1131" i="12"/>
  <c r="I1132" i="12"/>
  <c r="I1133" i="12"/>
  <c r="I1134" i="12"/>
  <c r="I1135" i="12"/>
  <c r="I1136" i="12"/>
  <c r="I1137" i="12"/>
  <c r="I1138" i="12"/>
  <c r="I1139" i="12"/>
  <c r="I1140" i="12"/>
  <c r="I1141" i="12"/>
  <c r="I1142" i="12"/>
  <c r="I1143" i="12"/>
  <c r="I1144" i="12"/>
  <c r="I1145" i="12"/>
  <c r="I1146" i="12"/>
  <c r="I1147" i="12"/>
  <c r="I1148" i="12"/>
  <c r="I1149" i="12"/>
  <c r="I1150" i="12"/>
  <c r="I1151" i="12"/>
  <c r="I1152" i="12"/>
  <c r="I1153" i="12"/>
  <c r="I1154" i="12"/>
  <c r="I1155" i="12"/>
  <c r="I1156" i="12"/>
  <c r="I1157" i="12"/>
  <c r="I1158" i="12"/>
  <c r="I1159" i="12"/>
  <c r="I1160" i="12"/>
  <c r="I1161" i="12"/>
  <c r="I1162" i="12"/>
  <c r="I1163" i="12"/>
  <c r="I1164" i="12"/>
  <c r="I1165" i="12"/>
  <c r="I1166" i="12"/>
  <c r="I1167" i="12"/>
  <c r="I1168" i="12"/>
  <c r="I1169" i="12"/>
  <c r="I1170" i="12"/>
  <c r="I1171" i="12"/>
  <c r="I1172" i="12"/>
  <c r="I1173" i="12"/>
  <c r="I1174" i="12"/>
  <c r="I1175" i="12"/>
  <c r="I1176" i="12"/>
  <c r="I1177" i="12"/>
  <c r="I1178" i="12"/>
  <c r="I1179" i="12"/>
  <c r="I1180" i="12"/>
  <c r="I1181" i="12"/>
  <c r="I1182" i="12"/>
  <c r="I1183" i="12"/>
  <c r="I1184" i="12"/>
  <c r="I1185" i="12"/>
  <c r="I1186" i="12"/>
  <c r="I1187" i="12"/>
  <c r="I1188" i="12"/>
  <c r="I1189" i="12"/>
  <c r="I1190" i="12"/>
  <c r="I1191" i="12"/>
  <c r="I1192" i="12"/>
  <c r="I1193" i="12"/>
  <c r="I1194" i="12"/>
  <c r="I1195" i="12"/>
  <c r="I1196" i="12"/>
  <c r="I1197" i="12"/>
  <c r="I1198" i="12"/>
  <c r="I1199" i="12"/>
  <c r="I1200" i="12"/>
  <c r="I1201" i="12"/>
  <c r="I1202" i="12"/>
  <c r="I1203" i="12"/>
  <c r="I1204" i="12"/>
  <c r="I1205" i="12"/>
  <c r="I1206" i="12"/>
  <c r="I1207" i="12"/>
  <c r="I1208" i="12"/>
  <c r="I1209" i="12"/>
  <c r="I1210" i="12"/>
  <c r="I1211" i="12"/>
  <c r="I1212" i="12"/>
  <c r="I1213" i="12"/>
  <c r="I1214" i="12"/>
  <c r="I1215" i="12"/>
  <c r="I1216" i="12"/>
  <c r="I1217" i="12"/>
  <c r="I1218" i="12"/>
  <c r="I1219" i="12"/>
  <c r="I1220" i="12"/>
  <c r="I1221" i="12"/>
  <c r="I1222" i="12"/>
  <c r="I1223" i="12"/>
  <c r="I1224" i="12"/>
  <c r="I1225" i="12"/>
  <c r="I1226" i="12"/>
  <c r="I1227" i="12"/>
  <c r="I1228" i="12"/>
  <c r="I1229" i="12"/>
  <c r="I1230" i="12"/>
  <c r="I1231" i="12"/>
  <c r="I1232" i="12"/>
  <c r="I1233" i="12"/>
  <c r="I1234" i="12"/>
  <c r="I1235" i="12"/>
  <c r="I1236" i="12"/>
  <c r="I1237" i="12"/>
  <c r="I1238" i="12"/>
  <c r="I1239" i="12"/>
  <c r="I1240" i="12"/>
  <c r="I1241" i="12"/>
  <c r="I1242" i="12"/>
  <c r="I1243" i="12"/>
  <c r="I1244" i="12"/>
  <c r="I1245" i="12"/>
  <c r="I1246" i="12"/>
  <c r="I1247" i="12"/>
  <c r="I1248" i="12"/>
  <c r="I1249" i="12"/>
  <c r="I1250" i="12"/>
  <c r="I1251" i="12"/>
  <c r="I1252" i="12"/>
  <c r="I1253" i="12"/>
  <c r="I1254" i="12"/>
  <c r="I1255" i="12"/>
  <c r="I1256" i="12"/>
  <c r="I1257" i="12"/>
  <c r="I1258" i="12"/>
  <c r="I1259" i="12"/>
  <c r="I1260" i="12"/>
  <c r="I1261" i="12"/>
  <c r="I1262" i="12"/>
  <c r="I1263" i="12"/>
  <c r="I1264" i="12"/>
  <c r="I1265" i="12"/>
  <c r="I1266" i="12"/>
  <c r="I1267" i="12"/>
  <c r="I1268" i="12"/>
  <c r="I1269" i="12"/>
  <c r="I1270" i="12"/>
  <c r="I1271" i="12"/>
  <c r="I1272" i="12"/>
  <c r="I1273" i="12"/>
  <c r="I1274" i="12"/>
  <c r="I1275" i="12"/>
  <c r="I1276" i="12"/>
  <c r="I1277" i="12"/>
  <c r="I1278" i="12"/>
  <c r="I1279" i="12"/>
  <c r="I1280" i="12"/>
  <c r="I1281" i="12"/>
  <c r="I1282" i="12"/>
  <c r="I1283" i="12"/>
  <c r="I1284" i="12"/>
  <c r="I1285" i="12"/>
  <c r="I1286" i="12"/>
  <c r="I1287" i="12"/>
  <c r="I1288" i="12"/>
  <c r="I1289" i="12"/>
  <c r="I1290" i="12"/>
  <c r="I1291" i="12"/>
  <c r="I1292" i="12"/>
  <c r="I1293" i="12"/>
  <c r="I1294" i="12"/>
  <c r="I1295" i="12"/>
  <c r="I1296" i="12"/>
  <c r="I1297" i="12"/>
  <c r="I1298" i="12"/>
  <c r="I1299" i="12"/>
  <c r="I1300" i="12"/>
  <c r="I1301" i="12"/>
  <c r="I1302" i="12"/>
  <c r="I1303" i="12"/>
  <c r="I1304" i="12"/>
  <c r="I1305" i="12"/>
  <c r="I1306" i="12"/>
  <c r="I1307" i="12"/>
  <c r="I1308" i="12"/>
  <c r="I1309" i="12"/>
  <c r="I1310" i="12"/>
  <c r="I1311" i="12"/>
  <c r="I1312" i="12"/>
  <c r="I1313" i="12"/>
  <c r="I1314" i="12"/>
  <c r="I1315" i="12"/>
  <c r="I1316" i="12"/>
  <c r="I1317" i="12"/>
  <c r="I1318" i="12"/>
  <c r="I1319" i="12"/>
  <c r="I1320" i="12"/>
  <c r="I1321" i="12"/>
  <c r="I1322" i="12"/>
  <c r="I1323" i="12"/>
  <c r="I1324" i="12"/>
  <c r="I1325" i="12"/>
  <c r="I1326" i="12"/>
  <c r="I1327" i="12"/>
  <c r="I1328" i="12"/>
  <c r="I1329" i="12"/>
  <c r="I1330" i="12"/>
  <c r="I1331" i="12"/>
  <c r="I1332" i="12"/>
  <c r="I1333" i="12"/>
  <c r="I1334" i="12"/>
  <c r="I1335" i="12"/>
  <c r="I1336" i="12"/>
  <c r="I1337" i="12"/>
  <c r="I1338" i="12"/>
  <c r="I1339" i="12"/>
  <c r="I1340" i="12"/>
  <c r="I1341" i="12"/>
  <c r="I1342" i="12"/>
  <c r="I1343" i="12"/>
  <c r="I1344" i="12"/>
  <c r="I1345" i="12"/>
  <c r="I1346" i="12"/>
  <c r="I1347" i="12"/>
  <c r="I1348" i="12"/>
  <c r="I1349" i="12"/>
  <c r="I1350" i="12"/>
  <c r="I1351" i="12"/>
  <c r="I1352" i="12"/>
  <c r="I1353" i="12"/>
  <c r="I1354" i="12"/>
  <c r="I1355" i="12"/>
  <c r="I1356" i="12"/>
  <c r="I1357" i="12"/>
  <c r="I1358" i="12"/>
  <c r="I1359" i="12"/>
  <c r="I1360" i="12"/>
  <c r="I1361" i="12"/>
  <c r="I1362" i="12"/>
  <c r="I1363" i="12"/>
  <c r="I1364" i="12"/>
  <c r="I1365" i="12"/>
  <c r="I1366" i="12"/>
  <c r="I1367" i="12"/>
  <c r="I1368" i="12"/>
  <c r="I1369" i="12"/>
  <c r="I1370" i="12"/>
  <c r="I1371" i="12"/>
  <c r="I1372" i="12"/>
  <c r="I1373" i="12"/>
  <c r="I1374" i="12"/>
  <c r="I1375" i="12"/>
  <c r="I1376" i="12"/>
  <c r="I1377" i="12"/>
  <c r="I1378" i="12"/>
  <c r="I1379" i="12"/>
  <c r="I1380" i="12"/>
  <c r="I1381" i="12"/>
  <c r="I1382" i="12"/>
  <c r="I1383" i="12"/>
  <c r="I1384" i="12"/>
  <c r="I1385" i="12"/>
  <c r="I1386" i="12"/>
  <c r="I1387" i="12"/>
  <c r="I1388" i="12"/>
  <c r="I1389" i="12"/>
  <c r="I1390" i="12"/>
  <c r="I1391" i="12"/>
  <c r="I1392" i="12"/>
  <c r="I1393" i="12"/>
  <c r="I1394" i="12"/>
  <c r="I1395" i="12"/>
  <c r="I1396" i="12"/>
  <c r="I1397" i="12"/>
  <c r="I1398" i="12"/>
  <c r="I1399" i="12"/>
  <c r="I1400" i="12"/>
  <c r="I1401" i="12"/>
  <c r="I1402" i="12"/>
  <c r="I1403" i="12"/>
  <c r="I1404" i="12"/>
  <c r="I1405" i="12"/>
  <c r="I1406" i="12"/>
  <c r="I1407" i="12"/>
  <c r="I1408" i="12"/>
  <c r="I1409" i="12"/>
  <c r="I1410" i="12"/>
  <c r="I1411" i="12"/>
  <c r="I1412" i="12"/>
  <c r="I1413" i="12"/>
  <c r="I1414" i="12"/>
  <c r="I1415" i="12"/>
  <c r="I1416" i="12"/>
  <c r="I1417" i="12"/>
  <c r="I1418" i="12"/>
  <c r="I1419" i="12"/>
  <c r="I1420" i="12"/>
  <c r="I1421" i="12"/>
  <c r="I1422" i="12"/>
  <c r="I1423" i="12"/>
  <c r="I1424" i="12"/>
  <c r="I1425" i="12"/>
  <c r="I1426" i="12"/>
  <c r="I1427" i="12"/>
  <c r="I1428" i="12"/>
  <c r="I1429" i="12"/>
  <c r="I1430" i="12"/>
  <c r="I1431" i="12"/>
  <c r="I1432" i="12"/>
  <c r="I1433" i="12"/>
  <c r="I1434" i="12"/>
  <c r="I1435" i="12"/>
  <c r="I1436" i="12"/>
  <c r="I1437" i="12"/>
  <c r="I1438" i="12"/>
  <c r="I1439" i="12"/>
  <c r="I1440" i="12"/>
  <c r="I1441" i="12"/>
  <c r="I1442" i="12"/>
  <c r="I1443" i="12"/>
  <c r="I1444" i="12"/>
  <c r="I1445" i="12"/>
  <c r="I1446" i="12"/>
  <c r="I1447" i="12"/>
  <c r="I1448" i="12"/>
  <c r="I1449" i="12"/>
  <c r="I1450" i="12"/>
  <c r="I1451" i="12"/>
  <c r="I1452" i="12"/>
  <c r="I1453" i="12"/>
  <c r="I1454" i="12"/>
  <c r="I1455" i="12"/>
  <c r="I1456" i="12"/>
  <c r="I1457" i="12"/>
  <c r="I1458" i="12"/>
  <c r="I1459" i="12"/>
  <c r="I1460" i="12"/>
  <c r="I1461" i="12"/>
  <c r="I1462" i="12"/>
  <c r="I1463" i="12"/>
  <c r="I1464" i="12"/>
  <c r="I1465" i="12"/>
  <c r="I1466" i="12"/>
  <c r="I1467" i="12"/>
  <c r="I1468" i="12"/>
  <c r="I1469" i="12"/>
  <c r="I1470" i="12"/>
  <c r="I1471" i="12"/>
  <c r="I1472" i="12"/>
  <c r="I1473" i="12"/>
  <c r="I1474" i="12"/>
  <c r="I1475" i="12"/>
  <c r="I1476" i="12"/>
  <c r="I1477" i="12"/>
  <c r="I1478" i="12"/>
  <c r="I1479" i="12"/>
  <c r="I1480" i="12"/>
  <c r="I1481" i="12"/>
  <c r="I1482" i="12"/>
  <c r="I1483" i="12"/>
  <c r="I1484" i="12"/>
  <c r="I1485" i="12"/>
  <c r="I1486" i="12"/>
  <c r="I1487" i="12"/>
  <c r="I1488" i="12"/>
  <c r="I1489" i="12"/>
  <c r="I1490" i="12"/>
  <c r="I1491" i="12"/>
  <c r="I1492" i="12"/>
  <c r="I1493" i="12"/>
  <c r="I1494" i="12"/>
  <c r="I1495" i="12"/>
  <c r="I1496" i="12"/>
  <c r="I1497" i="12"/>
  <c r="I1498" i="12"/>
  <c r="I1499" i="12"/>
  <c r="I1500" i="12"/>
  <c r="I1501" i="12"/>
  <c r="I1502" i="12"/>
  <c r="I1503" i="12"/>
  <c r="I1504" i="12"/>
  <c r="I1505" i="12"/>
  <c r="I1506" i="12"/>
  <c r="I1507" i="12"/>
  <c r="I1508" i="12"/>
  <c r="I1509" i="12"/>
  <c r="I1510" i="12"/>
  <c r="I1511" i="12"/>
  <c r="I1512" i="12"/>
  <c r="I1513" i="12"/>
  <c r="I1514" i="12"/>
  <c r="I1515" i="12"/>
  <c r="I1516" i="12"/>
  <c r="I1517" i="12"/>
  <c r="I1518" i="12"/>
  <c r="I1519" i="12"/>
  <c r="I1520" i="12"/>
  <c r="I1521" i="12"/>
  <c r="I1522" i="12"/>
  <c r="I1523" i="12"/>
  <c r="I1524" i="12"/>
  <c r="I1525" i="12"/>
  <c r="I1526" i="12"/>
  <c r="I1527" i="12"/>
  <c r="I1528" i="12"/>
  <c r="I1529" i="12"/>
  <c r="I1530" i="12"/>
  <c r="I1531" i="12"/>
  <c r="I1532" i="12"/>
  <c r="I1533" i="12"/>
  <c r="I1534" i="12"/>
  <c r="I1535" i="12"/>
  <c r="I1536" i="12"/>
  <c r="I1537" i="12"/>
  <c r="I1538" i="12"/>
  <c r="I1539" i="12"/>
  <c r="I1540" i="12"/>
  <c r="I1541" i="12"/>
  <c r="I1542" i="12"/>
  <c r="I1543" i="12"/>
  <c r="I1544" i="12"/>
  <c r="I1545" i="12"/>
  <c r="I1546" i="12"/>
  <c r="I1547" i="12"/>
  <c r="I1548" i="12"/>
  <c r="I1549" i="12"/>
  <c r="I1550" i="12"/>
  <c r="I1551" i="12"/>
  <c r="I1552" i="12"/>
  <c r="I1553" i="12"/>
  <c r="I1554" i="12"/>
  <c r="I1555" i="12"/>
  <c r="I1556" i="12"/>
  <c r="I1557" i="12"/>
  <c r="I1558" i="12"/>
  <c r="I1559" i="12"/>
  <c r="I1560" i="12"/>
  <c r="I1561" i="12"/>
  <c r="I1562" i="12"/>
  <c r="I1563" i="12"/>
  <c r="I1564" i="12"/>
  <c r="I1565" i="12"/>
  <c r="I1566" i="12"/>
  <c r="I1567" i="12"/>
  <c r="I1568" i="12"/>
  <c r="I1569" i="12"/>
  <c r="I1570" i="12"/>
  <c r="I1571" i="12"/>
  <c r="I1572" i="12"/>
  <c r="I1573" i="12"/>
  <c r="I1574" i="12"/>
  <c r="I1575" i="12"/>
  <c r="I1576" i="12"/>
  <c r="I1577" i="12"/>
  <c r="I1578" i="12"/>
  <c r="I1579" i="12"/>
  <c r="I1580" i="12"/>
  <c r="I1581" i="12"/>
  <c r="I1582" i="12"/>
  <c r="I1583" i="12"/>
  <c r="I1584" i="12"/>
  <c r="I1585" i="12"/>
  <c r="I1586" i="12"/>
  <c r="I1587" i="12"/>
  <c r="I1588" i="12"/>
  <c r="I1589" i="12"/>
  <c r="I1590" i="12"/>
  <c r="I1591" i="12"/>
  <c r="I1592" i="12"/>
  <c r="I1593" i="12"/>
  <c r="I1594" i="12"/>
  <c r="I1595" i="12"/>
  <c r="I1596" i="12"/>
  <c r="I1597" i="12"/>
  <c r="I1598" i="12"/>
  <c r="I1599" i="12"/>
  <c r="I1600" i="12"/>
  <c r="I1601" i="12"/>
  <c r="I1602" i="12"/>
  <c r="I1603" i="12"/>
  <c r="I1604" i="12"/>
  <c r="I1605" i="12"/>
  <c r="I1606" i="12"/>
  <c r="I1607" i="12"/>
  <c r="I1608" i="12"/>
  <c r="I1609" i="12"/>
  <c r="I1610" i="12"/>
  <c r="I1611" i="12"/>
  <c r="I1612" i="12"/>
  <c r="I1613" i="12"/>
  <c r="I1614" i="12"/>
  <c r="I1615" i="12"/>
  <c r="I1616" i="12"/>
  <c r="I1617" i="12"/>
  <c r="I1618" i="12"/>
  <c r="I1619" i="12"/>
  <c r="I1620" i="12"/>
  <c r="I1621" i="12"/>
  <c r="I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A476" i="12"/>
  <c r="A477" i="12"/>
  <c r="A478" i="12"/>
  <c r="A479" i="12"/>
  <c r="A480" i="12"/>
  <c r="A481" i="12"/>
  <c r="A482" i="12"/>
  <c r="A483" i="12"/>
  <c r="A484" i="12"/>
  <c r="A485" i="12"/>
  <c r="A486" i="12"/>
  <c r="A487" i="12"/>
  <c r="A488" i="12"/>
  <c r="A489" i="12"/>
  <c r="A490" i="12"/>
  <c r="A491" i="12"/>
  <c r="A492" i="12"/>
  <c r="A493" i="12"/>
  <c r="A494" i="12"/>
  <c r="A495" i="12"/>
  <c r="A496" i="12"/>
  <c r="A497" i="12"/>
  <c r="A498" i="12"/>
  <c r="A499" i="12"/>
  <c r="A500" i="12"/>
  <c r="A501" i="12"/>
  <c r="A502" i="12"/>
  <c r="A503" i="12"/>
  <c r="A504" i="12"/>
  <c r="A505" i="12"/>
  <c r="A506" i="12"/>
  <c r="A507" i="12"/>
  <c r="A508" i="12"/>
  <c r="A509" i="12"/>
  <c r="A510" i="12"/>
  <c r="A511" i="12"/>
  <c r="A512" i="12"/>
  <c r="A513" i="12"/>
  <c r="A514" i="12"/>
  <c r="A515" i="12"/>
  <c r="A516" i="12"/>
  <c r="A517" i="12"/>
  <c r="A518" i="12"/>
  <c r="A519" i="12"/>
  <c r="A520" i="12"/>
  <c r="A521" i="12"/>
  <c r="A522" i="12"/>
  <c r="A523" i="12"/>
  <c r="A524" i="12"/>
  <c r="A525" i="12"/>
  <c r="A526" i="12"/>
  <c r="A527" i="12"/>
  <c r="A528" i="12"/>
  <c r="A529" i="12"/>
  <c r="A530" i="12"/>
  <c r="A531" i="12"/>
  <c r="A532" i="12"/>
  <c r="A533" i="12"/>
  <c r="A534" i="12"/>
  <c r="A535" i="12"/>
  <c r="A536" i="12"/>
  <c r="A537" i="12"/>
  <c r="A538" i="12"/>
  <c r="A539" i="12"/>
  <c r="A540" i="12"/>
  <c r="A541" i="12"/>
  <c r="A542" i="12"/>
  <c r="A543" i="12"/>
  <c r="A544" i="12"/>
  <c r="A545" i="12"/>
  <c r="A546" i="12"/>
  <c r="A547" i="12"/>
  <c r="A548" i="12"/>
  <c r="A549" i="12"/>
  <c r="A550" i="12"/>
  <c r="A551" i="12"/>
  <c r="A552" i="12"/>
  <c r="A553" i="12"/>
  <c r="A554" i="12"/>
  <c r="A555" i="12"/>
  <c r="A556" i="12"/>
  <c r="A557" i="12"/>
  <c r="A558" i="12"/>
  <c r="A559" i="12"/>
  <c r="A560" i="12"/>
  <c r="A561" i="12"/>
  <c r="A562" i="12"/>
  <c r="A563" i="12"/>
  <c r="A564" i="12"/>
  <c r="A565" i="12"/>
  <c r="A566" i="12"/>
  <c r="A567" i="12"/>
  <c r="A568" i="12"/>
  <c r="A569" i="12"/>
  <c r="A570" i="12"/>
  <c r="A571" i="12"/>
  <c r="A572" i="12"/>
  <c r="A573" i="12"/>
  <c r="A574" i="12"/>
  <c r="A575" i="12"/>
  <c r="A576" i="12"/>
  <c r="A577" i="12"/>
  <c r="A578" i="12"/>
  <c r="A579" i="12"/>
  <c r="A580" i="12"/>
  <c r="A581" i="12"/>
  <c r="A582" i="12"/>
  <c r="A583" i="12"/>
  <c r="A584" i="12"/>
  <c r="A585" i="12"/>
  <c r="A586" i="12"/>
  <c r="A587" i="12"/>
  <c r="A588" i="12"/>
  <c r="A589" i="12"/>
  <c r="A590" i="12"/>
  <c r="A591" i="12"/>
  <c r="A592" i="12"/>
  <c r="A593" i="12"/>
  <c r="A594" i="12"/>
  <c r="A595" i="12"/>
  <c r="A596" i="12"/>
  <c r="A597" i="12"/>
  <c r="A598" i="12"/>
  <c r="A599" i="12"/>
  <c r="A600" i="12"/>
  <c r="A601" i="12"/>
  <c r="A602" i="12"/>
  <c r="A603" i="12"/>
  <c r="A604" i="12"/>
  <c r="A605" i="12"/>
  <c r="A606" i="12"/>
  <c r="A607" i="12"/>
  <c r="A608" i="12"/>
  <c r="A609" i="12"/>
  <c r="A610" i="12"/>
  <c r="A611" i="12"/>
  <c r="A612" i="12"/>
  <c r="A613" i="12"/>
  <c r="A614" i="12"/>
  <c r="A615" i="12"/>
  <c r="A616" i="12"/>
  <c r="A617" i="12"/>
  <c r="A618" i="12"/>
  <c r="A619" i="12"/>
  <c r="A620" i="12"/>
  <c r="A621" i="12"/>
  <c r="A622" i="12"/>
  <c r="A623" i="12"/>
  <c r="A624" i="12"/>
  <c r="A625" i="12"/>
  <c r="A626" i="12"/>
  <c r="A627" i="12"/>
  <c r="A628" i="12"/>
  <c r="A629" i="12"/>
  <c r="A630" i="12"/>
  <c r="A631" i="12"/>
  <c r="A632" i="12"/>
  <c r="A633" i="12"/>
  <c r="A634" i="12"/>
  <c r="A635" i="12"/>
  <c r="A636" i="12"/>
  <c r="A637" i="12"/>
  <c r="A638" i="12"/>
  <c r="A639" i="12"/>
  <c r="A640" i="12"/>
  <c r="A641" i="12"/>
  <c r="A642" i="12"/>
  <c r="A643" i="12"/>
  <c r="A644" i="12"/>
  <c r="A645" i="12"/>
  <c r="A646" i="12"/>
  <c r="A647" i="12"/>
  <c r="A648" i="12"/>
  <c r="A649" i="12"/>
  <c r="A650" i="12"/>
  <c r="A651" i="12"/>
  <c r="A652" i="12"/>
  <c r="A653" i="12"/>
  <c r="A654" i="12"/>
  <c r="A655" i="12"/>
  <c r="A656" i="12"/>
  <c r="A657" i="12"/>
  <c r="A658" i="12"/>
  <c r="A659" i="12"/>
  <c r="A660" i="12"/>
  <c r="A661" i="12"/>
  <c r="A662" i="12"/>
  <c r="A663" i="12"/>
  <c r="A664" i="12"/>
  <c r="A665" i="12"/>
  <c r="A666" i="12"/>
  <c r="A667" i="12"/>
  <c r="A668" i="12"/>
  <c r="A669" i="12"/>
  <c r="A670" i="12"/>
  <c r="A671" i="12"/>
  <c r="A672" i="12"/>
  <c r="A673" i="12"/>
  <c r="A674" i="12"/>
  <c r="A675" i="12"/>
  <c r="A676" i="12"/>
  <c r="A677" i="12"/>
  <c r="A678" i="12"/>
  <c r="A679" i="12"/>
  <c r="A680" i="12"/>
  <c r="A681" i="12"/>
  <c r="A682" i="12"/>
  <c r="A683" i="12"/>
  <c r="A684" i="12"/>
  <c r="A685" i="12"/>
  <c r="A686" i="12"/>
  <c r="A687" i="12"/>
  <c r="A688" i="12"/>
  <c r="A689" i="12"/>
  <c r="A690" i="12"/>
  <c r="A691" i="12"/>
  <c r="A692" i="12"/>
  <c r="A693" i="12"/>
  <c r="A694" i="12"/>
  <c r="A695" i="12"/>
  <c r="A696" i="12"/>
  <c r="A697" i="12"/>
  <c r="A698" i="12"/>
  <c r="A699" i="12"/>
  <c r="A700" i="12"/>
  <c r="A701" i="12"/>
  <c r="A702" i="12"/>
  <c r="A703" i="12"/>
  <c r="A704" i="12"/>
  <c r="A705" i="12"/>
  <c r="A706" i="12"/>
  <c r="A707" i="12"/>
  <c r="A708" i="12"/>
  <c r="A709" i="12"/>
  <c r="A710" i="12"/>
  <c r="A711" i="12"/>
  <c r="A712" i="12"/>
  <c r="A713" i="12"/>
  <c r="A714" i="12"/>
  <c r="A715" i="12"/>
  <c r="A716" i="12"/>
  <c r="A717" i="12"/>
  <c r="A718" i="12"/>
  <c r="A719" i="12"/>
  <c r="A720" i="12"/>
  <c r="A721" i="12"/>
  <c r="A722" i="12"/>
  <c r="A723" i="12"/>
  <c r="A724" i="12"/>
  <c r="A725" i="12"/>
  <c r="A726" i="12"/>
  <c r="A727" i="12"/>
  <c r="A728" i="12"/>
  <c r="A729" i="12"/>
  <c r="A730" i="12"/>
  <c r="A731" i="12"/>
  <c r="A732" i="12"/>
  <c r="A733" i="12"/>
  <c r="A734" i="12"/>
  <c r="A735" i="12"/>
  <c r="A736" i="12"/>
  <c r="A737" i="12"/>
  <c r="A738" i="12"/>
  <c r="A739" i="12"/>
  <c r="A740" i="12"/>
  <c r="A741" i="12"/>
  <c r="A742" i="12"/>
  <c r="A743" i="12"/>
  <c r="A744" i="12"/>
  <c r="A745" i="12"/>
  <c r="A746" i="12"/>
  <c r="A747" i="12"/>
  <c r="A748" i="12"/>
  <c r="A749" i="12"/>
  <c r="A750" i="12"/>
  <c r="A751" i="12"/>
  <c r="A752" i="12"/>
  <c r="A753" i="12"/>
  <c r="A754" i="12"/>
  <c r="A755" i="12"/>
  <c r="A756" i="12"/>
  <c r="A757" i="12"/>
  <c r="A758" i="12"/>
  <c r="A759" i="12"/>
  <c r="A760" i="12"/>
  <c r="A761" i="12"/>
  <c r="A762" i="12"/>
  <c r="A763" i="12"/>
  <c r="A764" i="12"/>
  <c r="A765" i="12"/>
  <c r="A766" i="12"/>
  <c r="A767" i="12"/>
  <c r="A768" i="12"/>
  <c r="A769" i="12"/>
  <c r="A770" i="12"/>
  <c r="A771" i="12"/>
  <c r="A772" i="12"/>
  <c r="A773" i="12"/>
  <c r="A774" i="12"/>
  <c r="A775" i="12"/>
  <c r="A776" i="12"/>
  <c r="A777" i="12"/>
  <c r="A778" i="12"/>
  <c r="A779" i="12"/>
  <c r="A780" i="12"/>
  <c r="A781" i="12"/>
  <c r="A782" i="12"/>
  <c r="A783" i="12"/>
  <c r="A784" i="12"/>
  <c r="A785" i="12"/>
  <c r="A786" i="12"/>
  <c r="A787" i="12"/>
  <c r="A788" i="12"/>
  <c r="A789" i="12"/>
  <c r="A790" i="12"/>
  <c r="A791" i="12"/>
  <c r="A792" i="12"/>
  <c r="A793" i="12"/>
  <c r="A794" i="12"/>
  <c r="A795" i="12"/>
  <c r="A796" i="12"/>
  <c r="A797" i="12"/>
  <c r="A798" i="12"/>
  <c r="A799" i="12"/>
  <c r="A800" i="12"/>
  <c r="A801" i="12"/>
  <c r="A802" i="12"/>
  <c r="A803" i="12"/>
  <c r="A804" i="12"/>
  <c r="A805" i="12"/>
  <c r="A806" i="12"/>
  <c r="A807" i="12"/>
  <c r="A808" i="12"/>
  <c r="A809" i="12"/>
  <c r="A810" i="12"/>
  <c r="A811" i="12"/>
  <c r="A812" i="12"/>
  <c r="A813" i="12"/>
  <c r="A814" i="12"/>
  <c r="A815" i="12"/>
  <c r="A816" i="12"/>
  <c r="A817" i="12"/>
  <c r="A818" i="12"/>
  <c r="A819" i="12"/>
  <c r="A820" i="12"/>
  <c r="A821" i="12"/>
  <c r="A822" i="12"/>
  <c r="A823" i="12"/>
  <c r="A824" i="12"/>
  <c r="A825" i="12"/>
  <c r="A826" i="12"/>
  <c r="A827" i="12"/>
  <c r="A828" i="12"/>
  <c r="A829" i="12"/>
  <c r="A830" i="12"/>
  <c r="A831" i="12"/>
  <c r="A832" i="12"/>
  <c r="A833" i="12"/>
  <c r="A834" i="12"/>
  <c r="A835" i="12"/>
  <c r="A836" i="12"/>
  <c r="A837" i="12"/>
  <c r="A838" i="12"/>
  <c r="A839" i="12"/>
  <c r="A840" i="12"/>
  <c r="A841" i="12"/>
  <c r="A842" i="12"/>
  <c r="A843" i="12"/>
  <c r="A844" i="12"/>
  <c r="A845" i="12"/>
  <c r="A846" i="12"/>
  <c r="A847" i="12"/>
  <c r="A848" i="12"/>
  <c r="A849" i="12"/>
  <c r="A850" i="12"/>
  <c r="A851" i="12"/>
  <c r="A852" i="12"/>
  <c r="A853" i="12"/>
  <c r="A854" i="12"/>
  <c r="A855" i="12"/>
  <c r="A856" i="12"/>
  <c r="A857" i="12"/>
  <c r="A858" i="12"/>
  <c r="A859" i="12"/>
  <c r="A860" i="12"/>
  <c r="A861" i="12"/>
  <c r="A862" i="12"/>
  <c r="A863" i="12"/>
  <c r="A864" i="12"/>
  <c r="A865" i="12"/>
  <c r="A866" i="12"/>
  <c r="A867" i="12"/>
  <c r="A868" i="12"/>
  <c r="A869" i="12"/>
  <c r="A870" i="12"/>
  <c r="A871" i="12"/>
  <c r="A872" i="12"/>
  <c r="A873" i="12"/>
  <c r="A874" i="12"/>
  <c r="A875" i="12"/>
  <c r="A876" i="12"/>
  <c r="A877" i="12"/>
  <c r="A878" i="12"/>
  <c r="A879" i="12"/>
  <c r="A880" i="12"/>
  <c r="A881" i="12"/>
  <c r="A882" i="12"/>
  <c r="A883" i="12"/>
  <c r="A884" i="12"/>
  <c r="A885" i="12"/>
  <c r="A886" i="12"/>
  <c r="A887" i="12"/>
  <c r="A888" i="12"/>
  <c r="A889" i="12"/>
  <c r="A890" i="12"/>
  <c r="A891" i="12"/>
  <c r="A892" i="12"/>
  <c r="A893" i="12"/>
  <c r="A894" i="12"/>
  <c r="A895" i="12"/>
  <c r="A896" i="12"/>
  <c r="A897" i="12"/>
  <c r="A898" i="12"/>
  <c r="A899" i="12"/>
  <c r="A900" i="12"/>
  <c r="A901" i="12"/>
  <c r="A902" i="12"/>
  <c r="A903" i="12"/>
  <c r="A904" i="12"/>
  <c r="A905" i="12"/>
  <c r="A906" i="12"/>
  <c r="A907" i="12"/>
  <c r="A908" i="12"/>
  <c r="A909" i="12"/>
  <c r="A910" i="12"/>
  <c r="A911" i="12"/>
  <c r="A912" i="12"/>
  <c r="A913" i="12"/>
  <c r="A914" i="12"/>
  <c r="A915" i="12"/>
  <c r="A916" i="12"/>
  <c r="A917" i="12"/>
  <c r="A918" i="12"/>
  <c r="A919" i="12"/>
  <c r="A920" i="12"/>
  <c r="A921" i="12"/>
  <c r="A922" i="12"/>
  <c r="A923" i="12"/>
  <c r="A924" i="12"/>
  <c r="A925" i="12"/>
  <c r="A926" i="12"/>
  <c r="A927" i="12"/>
  <c r="A928" i="12"/>
  <c r="A929" i="12"/>
  <c r="A930" i="12"/>
  <c r="A931" i="12"/>
  <c r="A932" i="12"/>
  <c r="A933" i="12"/>
  <c r="A934" i="12"/>
  <c r="A935" i="12"/>
  <c r="A936" i="12"/>
  <c r="A937" i="12"/>
  <c r="A938" i="12"/>
  <c r="A939" i="12"/>
  <c r="A940" i="12"/>
  <c r="A941" i="12"/>
  <c r="A942" i="12"/>
  <c r="A943" i="12"/>
  <c r="A944" i="12"/>
  <c r="A945" i="12"/>
  <c r="A946" i="12"/>
  <c r="A947" i="12"/>
  <c r="A948" i="12"/>
  <c r="A949" i="12"/>
  <c r="A950" i="12"/>
  <c r="A951" i="12"/>
  <c r="A952" i="12"/>
  <c r="A953" i="12"/>
  <c r="A954" i="12"/>
  <c r="A955" i="12"/>
  <c r="A956" i="12"/>
  <c r="A957" i="12"/>
  <c r="A958" i="12"/>
  <c r="A959" i="12"/>
  <c r="A960" i="12"/>
  <c r="A961" i="12"/>
  <c r="A962" i="12"/>
  <c r="A963" i="12"/>
  <c r="A964" i="12"/>
  <c r="A965" i="12"/>
  <c r="A966" i="12"/>
  <c r="A967" i="12"/>
  <c r="A968" i="12"/>
  <c r="A969" i="12"/>
  <c r="A970" i="12"/>
  <c r="A971" i="12"/>
  <c r="A972" i="12"/>
  <c r="A973" i="12"/>
  <c r="A974" i="12"/>
  <c r="A975" i="12"/>
  <c r="A976" i="12"/>
  <c r="A977" i="12"/>
  <c r="A978" i="12"/>
  <c r="A979" i="12"/>
  <c r="A980" i="12"/>
  <c r="A981" i="12"/>
  <c r="A982" i="12"/>
  <c r="A983" i="12"/>
  <c r="A984" i="12"/>
  <c r="A985" i="12"/>
  <c r="A986" i="12"/>
  <c r="A987" i="12"/>
  <c r="A988" i="12"/>
  <c r="A989" i="12"/>
  <c r="A990" i="12"/>
  <c r="A991" i="12"/>
  <c r="A992" i="12"/>
  <c r="A993" i="12"/>
  <c r="A994" i="12"/>
  <c r="A995" i="12"/>
  <c r="A996" i="12"/>
  <c r="A997" i="12"/>
  <c r="A998" i="12"/>
  <c r="A999" i="12"/>
  <c r="A1000" i="12"/>
  <c r="A1001" i="12"/>
  <c r="A1002" i="12"/>
  <c r="A1003" i="12"/>
  <c r="A1004" i="12"/>
  <c r="A1005" i="12"/>
  <c r="A1006" i="12"/>
  <c r="A1007" i="12"/>
  <c r="A1008" i="12"/>
  <c r="A1009" i="12"/>
  <c r="A1010" i="12"/>
  <c r="A1011" i="12"/>
  <c r="A1012" i="12"/>
  <c r="A1013" i="12"/>
  <c r="A1014" i="12"/>
  <c r="A1015" i="12"/>
  <c r="A1016" i="12"/>
  <c r="A1017" i="12"/>
  <c r="A1018" i="12"/>
  <c r="A1019" i="12"/>
  <c r="A1020" i="12"/>
  <c r="A1021" i="12"/>
  <c r="A1022" i="12"/>
  <c r="A1023" i="12"/>
  <c r="A1024" i="12"/>
  <c r="A1025" i="12"/>
  <c r="A1026" i="12"/>
  <c r="A1027" i="12"/>
  <c r="A1028" i="12"/>
  <c r="A1029" i="12"/>
  <c r="A1030" i="12"/>
  <c r="A1031" i="12"/>
  <c r="A1032" i="12"/>
  <c r="A1033" i="12"/>
  <c r="A1034" i="12"/>
  <c r="A1035" i="12"/>
  <c r="A1036" i="12"/>
  <c r="A1037" i="12"/>
  <c r="A1038" i="12"/>
  <c r="A1039" i="12"/>
  <c r="A1040" i="12"/>
  <c r="A1041" i="12"/>
  <c r="A1042" i="12"/>
  <c r="A1043" i="12"/>
  <c r="A1044" i="12"/>
  <c r="A1045" i="12"/>
  <c r="A1046" i="12"/>
  <c r="A1047" i="12"/>
  <c r="A1048" i="12"/>
  <c r="A1049" i="12"/>
  <c r="A1050" i="12"/>
  <c r="A1051" i="12"/>
  <c r="A1052" i="12"/>
  <c r="A1053" i="12"/>
  <c r="A1054" i="12"/>
  <c r="A1055" i="12"/>
  <c r="A1056" i="12"/>
  <c r="A1057" i="12"/>
  <c r="A1058" i="12"/>
  <c r="A1059" i="12"/>
  <c r="A1060" i="12"/>
  <c r="A1061" i="12"/>
  <c r="A1062" i="12"/>
  <c r="A1063" i="12"/>
  <c r="A1064" i="12"/>
  <c r="A1065" i="12"/>
  <c r="A1066" i="12"/>
  <c r="A1067" i="12"/>
  <c r="A1068" i="12"/>
  <c r="A1069" i="12"/>
  <c r="A1070" i="12"/>
  <c r="A1071" i="12"/>
  <c r="A1072" i="12"/>
  <c r="A1073" i="12"/>
  <c r="A1074" i="12"/>
  <c r="A1075" i="12"/>
  <c r="A1076" i="12"/>
  <c r="A1077" i="12"/>
  <c r="A1078" i="12"/>
  <c r="A1079" i="12"/>
  <c r="A1080" i="12"/>
  <c r="A1081" i="12"/>
  <c r="A1082" i="12"/>
  <c r="A1083" i="12"/>
  <c r="A1084" i="12"/>
  <c r="A1085" i="12"/>
  <c r="A1086" i="12"/>
  <c r="A1087" i="12"/>
  <c r="A1088" i="12"/>
  <c r="A1089" i="12"/>
  <c r="A1090" i="12"/>
  <c r="A1091" i="12"/>
  <c r="A1092" i="12"/>
  <c r="A1093" i="12"/>
  <c r="A1094" i="12"/>
  <c r="A1095" i="12"/>
  <c r="A1096" i="12"/>
  <c r="A1097" i="12"/>
  <c r="A1098" i="12"/>
  <c r="A1099" i="12"/>
  <c r="A1100" i="12"/>
  <c r="A1101" i="12"/>
  <c r="A1102" i="12"/>
  <c r="A1103" i="12"/>
  <c r="A1104" i="12"/>
  <c r="A1105" i="12"/>
  <c r="A1106" i="12"/>
  <c r="A1107" i="12"/>
  <c r="A1108" i="12"/>
  <c r="A1109" i="12"/>
  <c r="A1110" i="12"/>
  <c r="A1111" i="12"/>
  <c r="A1112" i="12"/>
  <c r="A1113" i="12"/>
  <c r="A1114" i="12"/>
  <c r="A1115" i="12"/>
  <c r="A1116" i="12"/>
  <c r="A1117" i="12"/>
  <c r="A1118" i="12"/>
  <c r="A1119" i="12"/>
  <c r="A1120" i="12"/>
  <c r="A1121" i="12"/>
  <c r="A1122" i="12"/>
  <c r="A1123" i="12"/>
  <c r="A1124" i="12"/>
  <c r="A1125" i="12"/>
  <c r="A1126" i="12"/>
  <c r="A1127" i="12"/>
  <c r="A1128" i="12"/>
  <c r="A1129" i="12"/>
  <c r="A1130" i="12"/>
  <c r="A1131" i="12"/>
  <c r="A1132" i="12"/>
  <c r="A1133" i="12"/>
  <c r="A1134" i="12"/>
  <c r="A1135" i="12"/>
  <c r="A1136" i="12"/>
  <c r="A1137" i="12"/>
  <c r="A1138" i="12"/>
  <c r="A1139" i="12"/>
  <c r="A1140" i="12"/>
  <c r="A1141" i="12"/>
  <c r="A1142" i="12"/>
  <c r="A1143" i="12"/>
  <c r="A1144" i="12"/>
  <c r="A1145" i="12"/>
  <c r="A1146" i="12"/>
  <c r="A1147" i="12"/>
  <c r="A1148" i="12"/>
  <c r="A1149" i="12"/>
  <c r="A1150" i="12"/>
  <c r="A1151" i="12"/>
  <c r="A1152" i="12"/>
  <c r="A1153" i="12"/>
  <c r="A1154" i="12"/>
  <c r="A1155" i="12"/>
  <c r="A1156" i="12"/>
  <c r="A1157" i="12"/>
  <c r="A1158" i="12"/>
  <c r="A1159" i="12"/>
  <c r="A1160" i="12"/>
  <c r="A1161" i="12"/>
  <c r="A1162" i="12"/>
  <c r="A1163" i="12"/>
  <c r="A1164" i="12"/>
  <c r="A1165" i="12"/>
  <c r="A1166" i="12"/>
  <c r="A1167" i="12"/>
  <c r="A1168" i="12"/>
  <c r="A1169" i="12"/>
  <c r="A1170" i="12"/>
  <c r="A1171" i="12"/>
  <c r="A1172" i="12"/>
  <c r="A1173" i="12"/>
  <c r="A1174" i="12"/>
  <c r="A1175" i="12"/>
  <c r="A1176" i="12"/>
  <c r="A1177" i="12"/>
  <c r="A1178" i="12"/>
  <c r="A1179" i="12"/>
  <c r="A1180" i="12"/>
  <c r="A1181" i="12"/>
  <c r="A1182" i="12"/>
  <c r="A1183" i="12"/>
  <c r="A1184" i="12"/>
  <c r="A1185" i="12"/>
  <c r="A1186" i="12"/>
  <c r="A1187" i="12"/>
  <c r="A1188" i="12"/>
  <c r="A1189" i="12"/>
  <c r="A1190" i="12"/>
  <c r="A1191" i="12"/>
  <c r="A1192" i="12"/>
  <c r="A1193" i="12"/>
  <c r="A1194" i="12"/>
  <c r="A1195" i="12"/>
  <c r="A1196" i="12"/>
  <c r="A1197" i="12"/>
  <c r="A1198" i="12"/>
  <c r="A1199" i="12"/>
  <c r="A1200" i="12"/>
  <c r="A1201" i="12"/>
  <c r="A1202" i="12"/>
  <c r="A1203" i="12"/>
  <c r="A1204" i="12"/>
  <c r="A1205" i="12"/>
  <c r="A1206" i="12"/>
  <c r="A1207" i="12"/>
  <c r="A1208" i="12"/>
  <c r="A1209" i="12"/>
  <c r="A1210" i="12"/>
  <c r="A1211" i="12"/>
  <c r="A1212" i="12"/>
  <c r="A1213" i="12"/>
  <c r="A1214" i="12"/>
  <c r="A1215" i="12"/>
  <c r="A1216" i="12"/>
  <c r="A1217" i="12"/>
  <c r="A1218" i="12"/>
  <c r="A1219" i="12"/>
  <c r="A1220" i="12"/>
  <c r="A1221" i="12"/>
  <c r="A1222" i="12"/>
  <c r="A1223" i="12"/>
  <c r="A1224" i="12"/>
  <c r="A1225" i="12"/>
  <c r="A1226" i="12"/>
  <c r="A1227" i="12"/>
  <c r="A1228" i="12"/>
  <c r="A1229" i="12"/>
  <c r="A1230" i="12"/>
  <c r="A1231" i="12"/>
  <c r="A1232" i="12"/>
  <c r="A1233" i="12"/>
  <c r="A1234" i="12"/>
  <c r="A1235" i="12"/>
  <c r="A1236" i="12"/>
  <c r="A1237" i="12"/>
  <c r="A1238" i="12"/>
  <c r="A1239" i="12"/>
  <c r="A1240" i="12"/>
  <c r="A1241" i="12"/>
  <c r="A1242" i="12"/>
  <c r="A1243" i="12"/>
  <c r="A1244" i="12"/>
  <c r="A1245" i="12"/>
  <c r="A1246" i="12"/>
  <c r="A1247" i="12"/>
  <c r="A1248" i="12"/>
  <c r="A1249" i="12"/>
  <c r="A1250" i="12"/>
  <c r="A1251" i="12"/>
  <c r="A1252" i="12"/>
  <c r="A1253" i="12"/>
  <c r="A1254" i="12"/>
  <c r="A1255" i="12"/>
  <c r="A1256" i="12"/>
  <c r="A1257" i="12"/>
  <c r="A1258" i="12"/>
  <c r="A1259" i="12"/>
  <c r="A1260" i="12"/>
  <c r="A1261" i="12"/>
  <c r="A1262" i="12"/>
  <c r="A1263" i="12"/>
  <c r="A1264" i="12"/>
  <c r="A1265" i="12"/>
  <c r="A1266" i="12"/>
  <c r="A1267" i="12"/>
  <c r="A1268" i="12"/>
  <c r="A1269" i="12"/>
  <c r="A1270" i="12"/>
  <c r="A1271" i="12"/>
  <c r="A1272" i="12"/>
  <c r="A1273" i="12"/>
  <c r="A1274" i="12"/>
  <c r="A1275" i="12"/>
  <c r="A1276" i="12"/>
  <c r="A1277" i="12"/>
  <c r="A1278" i="12"/>
  <c r="A1279" i="12"/>
  <c r="A1280" i="12"/>
  <c r="A1281" i="12"/>
  <c r="A1282" i="12"/>
  <c r="A1283" i="12"/>
  <c r="A1284" i="12"/>
  <c r="A1285" i="12"/>
  <c r="A1286" i="12"/>
  <c r="A1287" i="12"/>
  <c r="A1288" i="12"/>
  <c r="A1289" i="12"/>
  <c r="A1290" i="12"/>
  <c r="A1291" i="12"/>
  <c r="A1292" i="12"/>
  <c r="A1293" i="12"/>
  <c r="A1294" i="12"/>
  <c r="A1295" i="12"/>
  <c r="A1296" i="12"/>
  <c r="A1297" i="12"/>
  <c r="A1298" i="12"/>
  <c r="A1299" i="12"/>
  <c r="A1300" i="12"/>
  <c r="A1301" i="12"/>
  <c r="A1302" i="12"/>
  <c r="A1303" i="12"/>
  <c r="A1304" i="12"/>
  <c r="A1305" i="12"/>
  <c r="A1306" i="12"/>
  <c r="A1307" i="12"/>
  <c r="A1308" i="12"/>
  <c r="A1309" i="12"/>
  <c r="A1310" i="12"/>
  <c r="A1311" i="12"/>
  <c r="A1312" i="12"/>
  <c r="A1313" i="12"/>
  <c r="A1314" i="12"/>
  <c r="A1315" i="12"/>
  <c r="A1316" i="12"/>
  <c r="A1317" i="12"/>
  <c r="A1318" i="12"/>
  <c r="A1319" i="12"/>
  <c r="A1320" i="12"/>
  <c r="A1321" i="12"/>
  <c r="A1322" i="12"/>
  <c r="A1323" i="12"/>
  <c r="A1324" i="12"/>
  <c r="A1325" i="12"/>
  <c r="A1326" i="12"/>
  <c r="A1327" i="12"/>
  <c r="A1328" i="12"/>
  <c r="A1329" i="12"/>
  <c r="A1330" i="12"/>
  <c r="A1331" i="12"/>
  <c r="A1332" i="12"/>
  <c r="A1333" i="12"/>
  <c r="A1334" i="12"/>
  <c r="A1335" i="12"/>
  <c r="A1336" i="12"/>
  <c r="A1337" i="12"/>
  <c r="A1338" i="12"/>
  <c r="A1339" i="12"/>
  <c r="A1340" i="12"/>
  <c r="A1341" i="12"/>
  <c r="A1342" i="12"/>
  <c r="A1343" i="12"/>
  <c r="A1344" i="12"/>
  <c r="A1345" i="12"/>
  <c r="A1346" i="12"/>
  <c r="A1347" i="12"/>
  <c r="A1348" i="12"/>
  <c r="A1349" i="12"/>
  <c r="A1350" i="12"/>
  <c r="A1351" i="12"/>
  <c r="A1352" i="12"/>
  <c r="A1353" i="12"/>
  <c r="A1354" i="12"/>
  <c r="A1355" i="12"/>
  <c r="A1356" i="12"/>
  <c r="A1357" i="12"/>
  <c r="A1358" i="12"/>
  <c r="A1359" i="12"/>
  <c r="A1360" i="12"/>
  <c r="A1361" i="12"/>
  <c r="A1362" i="12"/>
  <c r="A1363" i="12"/>
  <c r="A1364" i="12"/>
  <c r="A1365" i="12"/>
  <c r="A1366" i="12"/>
  <c r="A1367" i="12"/>
  <c r="A1368" i="12"/>
  <c r="A1369" i="12"/>
  <c r="A1370" i="12"/>
  <c r="A1371" i="12"/>
  <c r="A1372" i="12"/>
  <c r="A1373" i="12"/>
  <c r="A1374" i="12"/>
  <c r="A1375" i="12"/>
  <c r="A1376" i="12"/>
  <c r="A1377" i="12"/>
  <c r="A1378" i="12"/>
  <c r="A1379" i="12"/>
  <c r="A1380" i="12"/>
  <c r="A1381" i="12"/>
  <c r="A1382" i="12"/>
  <c r="A1383" i="12"/>
  <c r="A1384" i="12"/>
  <c r="A1385" i="12"/>
  <c r="A1386" i="12"/>
  <c r="A1387" i="12"/>
  <c r="A1388" i="12"/>
  <c r="A1389" i="12"/>
  <c r="A1390" i="12"/>
  <c r="A1391" i="12"/>
  <c r="A1392" i="12"/>
  <c r="A1393" i="12"/>
  <c r="A1394" i="12"/>
  <c r="A1395" i="12"/>
  <c r="A1396" i="12"/>
  <c r="A1397" i="12"/>
  <c r="A1398" i="12"/>
  <c r="A1399" i="12"/>
  <c r="A1400" i="12"/>
  <c r="A1401" i="12"/>
  <c r="A1402" i="12"/>
  <c r="A1403" i="12"/>
  <c r="A1404" i="12"/>
  <c r="A1405" i="12"/>
  <c r="A1406" i="12"/>
  <c r="A1407" i="12"/>
  <c r="A1408" i="12"/>
  <c r="A1409" i="12"/>
  <c r="A1410" i="12"/>
  <c r="A1411" i="12"/>
  <c r="A1412" i="12"/>
  <c r="A1413" i="12"/>
  <c r="A1414" i="12"/>
  <c r="A1415" i="12"/>
  <c r="A1416" i="12"/>
  <c r="A1417" i="12"/>
  <c r="A1418" i="12"/>
  <c r="A1419" i="12"/>
  <c r="A1420" i="12"/>
  <c r="A1421" i="12"/>
  <c r="A1422" i="12"/>
  <c r="A1423" i="12"/>
  <c r="A1424" i="12"/>
  <c r="A1425" i="12"/>
  <c r="A1426" i="12"/>
  <c r="A1427" i="12"/>
  <c r="A1428" i="12"/>
  <c r="A1429" i="12"/>
  <c r="A1430" i="12"/>
  <c r="A1431" i="12"/>
  <c r="A1432" i="12"/>
  <c r="A1433" i="12"/>
  <c r="A1434" i="12"/>
  <c r="A1435" i="12"/>
  <c r="A1436" i="12"/>
  <c r="A1437" i="12"/>
  <c r="A1438" i="12"/>
  <c r="A1439" i="12"/>
  <c r="A1440" i="12"/>
  <c r="A1441" i="12"/>
  <c r="A1442" i="12"/>
  <c r="A1443" i="12"/>
  <c r="A1444" i="12"/>
  <c r="A1445" i="12"/>
  <c r="A1446" i="12"/>
  <c r="A1447" i="12"/>
  <c r="A1448" i="12"/>
  <c r="A1449" i="12"/>
  <c r="A1450" i="12"/>
  <c r="A1451" i="12"/>
  <c r="A1452" i="12"/>
  <c r="A1453" i="12"/>
  <c r="A1454" i="12"/>
  <c r="A1455" i="12"/>
  <c r="A1456" i="12"/>
  <c r="A1457" i="12"/>
  <c r="A1458" i="12"/>
  <c r="A1459" i="12"/>
  <c r="A1460" i="12"/>
  <c r="A1461" i="12"/>
  <c r="A1462" i="12"/>
  <c r="A1463" i="12"/>
  <c r="A1464" i="12"/>
  <c r="A1465" i="12"/>
  <c r="A1466" i="12"/>
  <c r="A1467" i="12"/>
  <c r="A1468" i="12"/>
  <c r="A1469" i="12"/>
  <c r="A1470" i="12"/>
  <c r="A1471" i="12"/>
  <c r="A1472" i="12"/>
  <c r="A1473" i="12"/>
  <c r="A1474" i="12"/>
  <c r="A1475" i="12"/>
  <c r="A1476" i="12"/>
  <c r="A1477" i="12"/>
  <c r="A1478" i="12"/>
  <c r="A1479" i="12"/>
  <c r="A1480" i="12"/>
  <c r="A1481" i="12"/>
  <c r="A1482" i="12"/>
  <c r="A1483" i="12"/>
  <c r="A1484" i="12"/>
  <c r="A1485" i="12"/>
  <c r="A1486" i="12"/>
  <c r="A1487" i="12"/>
  <c r="A1488" i="12"/>
  <c r="A1489" i="12"/>
  <c r="A1490" i="12"/>
  <c r="A1491" i="12"/>
  <c r="A1492" i="12"/>
  <c r="A1493" i="12"/>
  <c r="A1494" i="12"/>
  <c r="A1495" i="12"/>
  <c r="A1496" i="12"/>
  <c r="A1497" i="12"/>
  <c r="A1498" i="12"/>
  <c r="A1499" i="12"/>
  <c r="A1500" i="12"/>
  <c r="A1501" i="12"/>
  <c r="A1502" i="12"/>
  <c r="A1503" i="12"/>
  <c r="A1504" i="12"/>
  <c r="A1505" i="12"/>
  <c r="A1506" i="12"/>
  <c r="A1507" i="12"/>
  <c r="A1508" i="12"/>
  <c r="A1509" i="12"/>
  <c r="A1510" i="12"/>
  <c r="A1511" i="12"/>
  <c r="A1512" i="12"/>
  <c r="A1513" i="12"/>
  <c r="A1514" i="12"/>
  <c r="A1515" i="12"/>
  <c r="A1516" i="12"/>
  <c r="A1517" i="12"/>
  <c r="A1518" i="12"/>
  <c r="A1519" i="12"/>
  <c r="A1520" i="12"/>
  <c r="A1521" i="12"/>
  <c r="A1522" i="12"/>
  <c r="A1523" i="12"/>
  <c r="A1524" i="12"/>
  <c r="A1525" i="12"/>
  <c r="A1526" i="12"/>
  <c r="A1527" i="12"/>
  <c r="A1528" i="12"/>
  <c r="A1529" i="12"/>
  <c r="A1530" i="12"/>
  <c r="A1531" i="12"/>
  <c r="A1532" i="12"/>
  <c r="A1533" i="12"/>
  <c r="A1534" i="12"/>
  <c r="A1535" i="12"/>
  <c r="A1536" i="12"/>
  <c r="A1537" i="12"/>
  <c r="A1538" i="12"/>
  <c r="A1539" i="12"/>
  <c r="A1540" i="12"/>
  <c r="A1541" i="12"/>
  <c r="A1542" i="12"/>
  <c r="A1543" i="12"/>
  <c r="A1544" i="12"/>
  <c r="A1545" i="12"/>
  <c r="A1546" i="12"/>
  <c r="A1547" i="12"/>
  <c r="A1548" i="12"/>
  <c r="A1549" i="12"/>
  <c r="A1550" i="12"/>
  <c r="A1551" i="12"/>
  <c r="A1552" i="12"/>
  <c r="A1553" i="12"/>
  <c r="A1554" i="12"/>
  <c r="A1555" i="12"/>
  <c r="A1556" i="12"/>
  <c r="A1557" i="12"/>
  <c r="A1558" i="12"/>
  <c r="A1559" i="12"/>
  <c r="A1560" i="12"/>
  <c r="A1561" i="12"/>
  <c r="A1562" i="12"/>
  <c r="A1563" i="12"/>
  <c r="A1564" i="12"/>
  <c r="A1565" i="12"/>
  <c r="A1566" i="12"/>
  <c r="A1567" i="12"/>
  <c r="A1568" i="12"/>
  <c r="A1569" i="12"/>
  <c r="A1570" i="12"/>
  <c r="A1571" i="12"/>
  <c r="A1572" i="12"/>
  <c r="A1573" i="12"/>
  <c r="A1574" i="12"/>
  <c r="A1575" i="12"/>
  <c r="A1576" i="12"/>
  <c r="A1577" i="12"/>
  <c r="A1578" i="12"/>
  <c r="A1579" i="12"/>
  <c r="A1580" i="12"/>
  <c r="A1581" i="12"/>
  <c r="A1582" i="12"/>
  <c r="A1583" i="12"/>
  <c r="A1584" i="12"/>
  <c r="A1585" i="12"/>
  <c r="A1586" i="12"/>
  <c r="A1587" i="12"/>
  <c r="A1588" i="12"/>
  <c r="A1589" i="12"/>
  <c r="A1590" i="12"/>
  <c r="A1591" i="12"/>
  <c r="A1592" i="12"/>
  <c r="A1593" i="12"/>
  <c r="A1594" i="12"/>
  <c r="A1595" i="12"/>
  <c r="A1596" i="12"/>
  <c r="A1597" i="12"/>
  <c r="A1598" i="12"/>
  <c r="A1599" i="12"/>
  <c r="A1600" i="12"/>
  <c r="A1601" i="12"/>
  <c r="A1602" i="12"/>
  <c r="A1603" i="12"/>
  <c r="A1604" i="12"/>
  <c r="A1605" i="12"/>
  <c r="A1606" i="12"/>
  <c r="A1607" i="12"/>
  <c r="A1608" i="12"/>
  <c r="A1609" i="12"/>
  <c r="A1610" i="12"/>
  <c r="A1611" i="12"/>
  <c r="A1612" i="12"/>
  <c r="A1613" i="12"/>
  <c r="A1614" i="12"/>
  <c r="A1615" i="12"/>
  <c r="A1616" i="12"/>
  <c r="A1617" i="12"/>
  <c r="A1618" i="12"/>
  <c r="A1619" i="12"/>
  <c r="A1620" i="12"/>
  <c r="A1621" i="12"/>
  <c r="A6" i="12"/>
  <c r="H218" i="15"/>
  <c r="H220" i="15"/>
  <c r="H222" i="15"/>
  <c r="H224" i="15"/>
  <c r="H226" i="15"/>
  <c r="H228" i="15"/>
  <c r="H230" i="15"/>
  <c r="H232" i="15"/>
  <c r="H234" i="15"/>
  <c r="H236" i="15"/>
  <c r="H238" i="15"/>
  <c r="H240" i="15"/>
  <c r="H242" i="15"/>
  <c r="H244" i="15"/>
  <c r="H246" i="15"/>
  <c r="H248" i="15"/>
  <c r="H250" i="15"/>
  <c r="H252" i="15"/>
  <c r="H254" i="15"/>
  <c r="H256" i="15"/>
  <c r="H258" i="15"/>
  <c r="H260" i="15"/>
  <c r="H262" i="15"/>
  <c r="H264" i="15"/>
  <c r="H266" i="15"/>
  <c r="H268" i="15"/>
  <c r="H270" i="15"/>
  <c r="H272" i="15"/>
  <c r="H274" i="15"/>
  <c r="H276" i="15"/>
  <c r="B220" i="15"/>
  <c r="B224" i="15"/>
  <c r="B228" i="15"/>
  <c r="B232" i="15"/>
  <c r="B236" i="15"/>
  <c r="B240" i="15"/>
  <c r="B244" i="15"/>
  <c r="B248" i="15"/>
  <c r="B252" i="15"/>
  <c r="B256" i="15"/>
  <c r="B260" i="15"/>
  <c r="B264" i="15"/>
  <c r="B268" i="15"/>
  <c r="B272" i="15"/>
  <c r="B276" i="15"/>
  <c r="B117" i="15"/>
  <c r="B121" i="15"/>
  <c r="B125" i="15"/>
  <c r="B129" i="15"/>
  <c r="B133" i="15"/>
  <c r="B137" i="15"/>
  <c r="B141" i="15"/>
  <c r="I141" i="15"/>
  <c r="I143" i="15"/>
  <c r="I114" i="15"/>
  <c r="I116" i="15"/>
  <c r="I118" i="15"/>
  <c r="I120" i="15"/>
  <c r="I122" i="15"/>
  <c r="I124" i="15"/>
  <c r="I126" i="15"/>
  <c r="I128" i="15"/>
  <c r="I130" i="15"/>
  <c r="I132" i="15"/>
  <c r="I134" i="15"/>
  <c r="I138" i="15"/>
  <c r="B113" i="15"/>
  <c r="H121" i="15"/>
  <c r="H129" i="15"/>
  <c r="H133" i="15"/>
  <c r="H139" i="15"/>
  <c r="I139" i="15"/>
  <c r="I218" i="15"/>
  <c r="I220" i="15"/>
  <c r="I222" i="15"/>
  <c r="I224" i="15"/>
  <c r="I226" i="15"/>
  <c r="I228" i="15"/>
  <c r="I230" i="15"/>
  <c r="I232" i="15"/>
  <c r="I234" i="15"/>
  <c r="I236" i="15"/>
  <c r="I238" i="15"/>
  <c r="I240" i="15"/>
  <c r="I242" i="15"/>
  <c r="I244" i="15"/>
  <c r="I246" i="15"/>
  <c r="I248" i="15"/>
  <c r="I250" i="15"/>
  <c r="I252" i="15"/>
  <c r="I254" i="15"/>
  <c r="I256" i="15"/>
  <c r="I258" i="15"/>
  <c r="I260" i="15"/>
  <c r="I262" i="15"/>
  <c r="I264" i="15"/>
  <c r="I266" i="15"/>
  <c r="I268" i="15"/>
  <c r="I270" i="15"/>
  <c r="I272" i="15"/>
  <c r="I274" i="15"/>
  <c r="I276" i="15"/>
  <c r="B221" i="15"/>
  <c r="B225" i="15"/>
  <c r="B229" i="15"/>
  <c r="B233" i="15"/>
  <c r="B237" i="15"/>
  <c r="B241" i="15"/>
  <c r="B245" i="15"/>
  <c r="B249" i="15"/>
  <c r="B253" i="15"/>
  <c r="B257" i="15"/>
  <c r="B261" i="15"/>
  <c r="B265" i="15"/>
  <c r="B269" i="15"/>
  <c r="B273" i="15"/>
  <c r="B114" i="15"/>
  <c r="B118" i="15"/>
  <c r="B122" i="15"/>
  <c r="B126" i="15"/>
  <c r="B130" i="15"/>
  <c r="B134" i="15"/>
  <c r="B138" i="15"/>
  <c r="B142" i="15"/>
  <c r="H142" i="15"/>
  <c r="H144" i="15"/>
  <c r="H115" i="15"/>
  <c r="H119" i="15"/>
  <c r="H123" i="15"/>
  <c r="H127" i="15"/>
  <c r="H135" i="15"/>
  <c r="I217" i="15"/>
  <c r="H113" i="15"/>
  <c r="H219" i="15"/>
  <c r="H221" i="15"/>
  <c r="H223" i="15"/>
  <c r="H225" i="15"/>
  <c r="H227" i="15"/>
  <c r="H229" i="15"/>
  <c r="H231" i="15"/>
  <c r="H233" i="15"/>
  <c r="H235" i="15"/>
  <c r="H237" i="15"/>
  <c r="H239" i="15"/>
  <c r="H241" i="15"/>
  <c r="H243" i="15"/>
  <c r="H245" i="15"/>
  <c r="H247" i="15"/>
  <c r="H249" i="15"/>
  <c r="H251" i="15"/>
  <c r="H253" i="15"/>
  <c r="H255" i="15"/>
  <c r="H257" i="15"/>
  <c r="H259" i="15"/>
  <c r="H261" i="15"/>
  <c r="H263" i="15"/>
  <c r="H265" i="15"/>
  <c r="H267" i="15"/>
  <c r="H269" i="15"/>
  <c r="H271" i="15"/>
  <c r="H273" i="15"/>
  <c r="H275" i="15"/>
  <c r="B218" i="15"/>
  <c r="B222" i="15"/>
  <c r="B226" i="15"/>
  <c r="B230" i="15"/>
  <c r="B234" i="15"/>
  <c r="B238" i="15"/>
  <c r="B242" i="15"/>
  <c r="B246" i="15"/>
  <c r="B250" i="15"/>
  <c r="B254" i="15"/>
  <c r="B258" i="15"/>
  <c r="B262" i="15"/>
  <c r="B266" i="15"/>
  <c r="B270" i="15"/>
  <c r="B274" i="15"/>
  <c r="B115" i="15"/>
  <c r="B119" i="15"/>
  <c r="B123" i="15"/>
  <c r="B127" i="15"/>
  <c r="B131" i="15"/>
  <c r="B135" i="15"/>
  <c r="B139" i="15"/>
  <c r="B143" i="15"/>
  <c r="I142" i="15"/>
  <c r="I144" i="15"/>
  <c r="I115" i="15"/>
  <c r="I117" i="15"/>
  <c r="I119" i="15"/>
  <c r="I121" i="15"/>
  <c r="I123" i="15"/>
  <c r="I125" i="15"/>
  <c r="I127" i="15"/>
  <c r="I129" i="15"/>
  <c r="I131" i="15"/>
  <c r="I133" i="15"/>
  <c r="I135" i="15"/>
  <c r="I137" i="15"/>
  <c r="H217" i="15"/>
  <c r="I219" i="15"/>
  <c r="I221" i="15"/>
  <c r="I223" i="15"/>
  <c r="I225" i="15"/>
  <c r="I227" i="15"/>
  <c r="I229" i="15"/>
  <c r="I231" i="15"/>
  <c r="I233" i="15"/>
  <c r="I235" i="15"/>
  <c r="I237" i="15"/>
  <c r="I239" i="15"/>
  <c r="I241" i="15"/>
  <c r="I243" i="15"/>
  <c r="I245" i="15"/>
  <c r="I247" i="15"/>
  <c r="I249" i="15"/>
  <c r="I251" i="15"/>
  <c r="I253" i="15"/>
  <c r="I255" i="15"/>
  <c r="I257" i="15"/>
  <c r="I259" i="15"/>
  <c r="I261" i="15"/>
  <c r="I263" i="15"/>
  <c r="I265" i="15"/>
  <c r="I267" i="15"/>
  <c r="I269" i="15"/>
  <c r="I271" i="15"/>
  <c r="I273" i="15"/>
  <c r="I275" i="15"/>
  <c r="B219" i="15"/>
  <c r="B223" i="15"/>
  <c r="B227" i="15"/>
  <c r="B231" i="15"/>
  <c r="B235" i="15"/>
  <c r="B239" i="15"/>
  <c r="B243" i="15"/>
  <c r="B247" i="15"/>
  <c r="B251" i="15"/>
  <c r="B255" i="15"/>
  <c r="B259" i="15"/>
  <c r="B263" i="15"/>
  <c r="B267" i="15"/>
  <c r="B271" i="15"/>
  <c r="B275" i="15"/>
  <c r="B116" i="15"/>
  <c r="B120" i="15"/>
  <c r="B124" i="15"/>
  <c r="B128" i="15"/>
  <c r="B132" i="15"/>
  <c r="B136" i="15"/>
  <c r="B140" i="15"/>
  <c r="H141" i="15"/>
  <c r="H143" i="15"/>
  <c r="H114" i="15"/>
  <c r="H116" i="15"/>
  <c r="H118" i="15"/>
  <c r="H120" i="15"/>
  <c r="H122" i="15"/>
  <c r="H124" i="15"/>
  <c r="H126" i="15"/>
  <c r="H128" i="15"/>
  <c r="H130" i="15"/>
  <c r="H132" i="15"/>
  <c r="H134" i="15"/>
  <c r="H136" i="15"/>
  <c r="H138" i="15"/>
  <c r="H140" i="15"/>
  <c r="B217" i="15"/>
  <c r="I136" i="15"/>
  <c r="I140" i="15"/>
  <c r="H117" i="15"/>
  <c r="H125" i="15"/>
  <c r="H131" i="15"/>
  <c r="H137" i="15"/>
  <c r="I113" i="15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48" i="9"/>
  <c r="B48" i="9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B2" i="9"/>
  <c r="A2" i="9"/>
  <c r="A45" i="8"/>
  <c r="B45" i="8"/>
  <c r="A46" i="8"/>
  <c r="B46" i="8"/>
  <c r="A47" i="8"/>
  <c r="B47" i="8"/>
  <c r="A48" i="8"/>
  <c r="B48" i="8"/>
  <c r="A49" i="8"/>
  <c r="B49" i="8"/>
  <c r="A50" i="8"/>
  <c r="B50" i="8"/>
  <c r="A51" i="8"/>
  <c r="B51" i="8"/>
  <c r="A52" i="8"/>
  <c r="B52" i="8"/>
  <c r="A53" i="8"/>
  <c r="B53" i="8"/>
  <c r="A54" i="8"/>
  <c r="B54" i="8"/>
  <c r="A55" i="8"/>
  <c r="B55" i="8"/>
  <c r="A56" i="8"/>
  <c r="B56" i="8"/>
  <c r="A57" i="8"/>
  <c r="B57" i="8"/>
  <c r="A58" i="8"/>
  <c r="B58" i="8"/>
  <c r="A59" i="8"/>
  <c r="B59" i="8"/>
  <c r="A60" i="8"/>
  <c r="B60" i="8"/>
  <c r="A61" i="8"/>
  <c r="B61" i="8"/>
  <c r="A62" i="8"/>
  <c r="B62" i="8"/>
  <c r="A63" i="8"/>
  <c r="B63" i="8"/>
  <c r="A64" i="8"/>
  <c r="B64" i="8"/>
  <c r="A65" i="8"/>
  <c r="B65" i="8"/>
  <c r="A66" i="8"/>
  <c r="B66" i="8"/>
  <c r="A67" i="8"/>
  <c r="B67" i="8"/>
  <c r="A68" i="8"/>
  <c r="B68" i="8"/>
  <c r="A69" i="8"/>
  <c r="B69" i="8"/>
  <c r="A70" i="8"/>
  <c r="B70" i="8"/>
  <c r="A71" i="8"/>
  <c r="B71" i="8"/>
  <c r="A72" i="8"/>
  <c r="B72" i="8"/>
  <c r="A73" i="8"/>
  <c r="B73" i="8"/>
  <c r="A74" i="8"/>
  <c r="B74" i="8"/>
  <c r="A75" i="8"/>
  <c r="B75" i="8"/>
  <c r="A76" i="8"/>
  <c r="B76" i="8"/>
  <c r="A77" i="8"/>
  <c r="B77" i="8"/>
  <c r="A78" i="8"/>
  <c r="B78" i="8"/>
  <c r="A79" i="8"/>
  <c r="B79" i="8"/>
  <c r="A80" i="8"/>
  <c r="B80" i="8"/>
  <c r="A81" i="8"/>
  <c r="B81" i="8"/>
  <c r="A82" i="8"/>
  <c r="B82" i="8"/>
  <c r="A83" i="8"/>
  <c r="B83" i="8"/>
  <c r="A84" i="8"/>
  <c r="B84" i="8"/>
  <c r="A85" i="8"/>
  <c r="B85" i="8"/>
  <c r="A86" i="8"/>
  <c r="B86" i="8"/>
  <c r="A87" i="8"/>
  <c r="B87" i="8"/>
  <c r="A88" i="8"/>
  <c r="B88" i="8"/>
  <c r="A89" i="8"/>
  <c r="B89" i="8"/>
  <c r="A90" i="8"/>
  <c r="B90" i="8"/>
  <c r="A91" i="8"/>
  <c r="B91" i="8"/>
  <c r="A92" i="8"/>
  <c r="B92" i="8"/>
  <c r="A93" i="8"/>
  <c r="B93" i="8"/>
  <c r="A94" i="8"/>
  <c r="B94" i="8"/>
  <c r="A95" i="8"/>
  <c r="B95" i="8"/>
  <c r="A96" i="8"/>
  <c r="B96" i="8"/>
  <c r="A97" i="8"/>
  <c r="B97" i="8"/>
  <c r="A98" i="8"/>
  <c r="B98" i="8"/>
  <c r="A99" i="8"/>
  <c r="B99" i="8"/>
  <c r="A100" i="8"/>
  <c r="B100" i="8"/>
  <c r="A101" i="8"/>
  <c r="B101" i="8"/>
  <c r="A102" i="8"/>
  <c r="B102" i="8"/>
  <c r="A103" i="8"/>
  <c r="B103" i="8"/>
  <c r="A104" i="8"/>
  <c r="B104" i="8"/>
  <c r="A105" i="8"/>
  <c r="B105" i="8"/>
  <c r="A106" i="8"/>
  <c r="B106" i="8"/>
  <c r="A107" i="8"/>
  <c r="B107" i="8"/>
  <c r="A108" i="8"/>
  <c r="B108" i="8"/>
  <c r="A109" i="8"/>
  <c r="B109" i="8"/>
  <c r="A110" i="8"/>
  <c r="B110" i="8"/>
  <c r="A111" i="8"/>
  <c r="B111" i="8"/>
  <c r="A112" i="8"/>
  <c r="B112" i="8"/>
  <c r="A113" i="8"/>
  <c r="B113" i="8"/>
  <c r="A114" i="8"/>
  <c r="B114" i="8"/>
  <c r="A115" i="8"/>
  <c r="B115" i="8"/>
  <c r="A116" i="8"/>
  <c r="B116" i="8"/>
  <c r="A117" i="8"/>
  <c r="B117" i="8"/>
  <c r="A118" i="8"/>
  <c r="B118" i="8"/>
  <c r="A119" i="8"/>
  <c r="B119" i="8"/>
  <c r="A120" i="8"/>
  <c r="B120" i="8"/>
  <c r="A121" i="8"/>
  <c r="B121" i="8"/>
  <c r="A122" i="8"/>
  <c r="B122" i="8"/>
  <c r="A123" i="8"/>
  <c r="B123" i="8"/>
  <c r="A124" i="8"/>
  <c r="B124" i="8"/>
  <c r="A125" i="8"/>
  <c r="B125" i="8"/>
  <c r="A126" i="8"/>
  <c r="B126" i="8"/>
  <c r="A127" i="8"/>
  <c r="B127" i="8"/>
  <c r="A128" i="8"/>
  <c r="B128" i="8"/>
  <c r="A129" i="8"/>
  <c r="B129" i="8"/>
  <c r="A130" i="8"/>
  <c r="B130" i="8"/>
  <c r="A131" i="8"/>
  <c r="B131" i="8"/>
  <c r="A132" i="8"/>
  <c r="B132" i="8"/>
  <c r="A133" i="8"/>
  <c r="B133" i="8"/>
  <c r="A134" i="8"/>
  <c r="B134" i="8"/>
  <c r="A135" i="8"/>
  <c r="B135" i="8"/>
  <c r="A136" i="8"/>
  <c r="B136" i="8"/>
  <c r="A137" i="8"/>
  <c r="B137" i="8"/>
  <c r="A138" i="8"/>
  <c r="B138" i="8"/>
  <c r="A139" i="8"/>
  <c r="B139" i="8"/>
  <c r="A140" i="8"/>
  <c r="B140" i="8"/>
  <c r="A141" i="8"/>
  <c r="B141" i="8"/>
  <c r="A142" i="8"/>
  <c r="B142" i="8"/>
  <c r="A143" i="8"/>
  <c r="B143" i="8"/>
  <c r="A144" i="8"/>
  <c r="B144" i="8"/>
  <c r="A145" i="8"/>
  <c r="B145" i="8"/>
  <c r="A146" i="8"/>
  <c r="B146" i="8"/>
  <c r="A147" i="8"/>
  <c r="B147" i="8"/>
  <c r="A148" i="8"/>
  <c r="B148" i="8"/>
  <c r="A149" i="8"/>
  <c r="B149" i="8"/>
  <c r="A150" i="8"/>
  <c r="B150" i="8"/>
  <c r="A151" i="8"/>
  <c r="B151" i="8"/>
  <c r="A152" i="8"/>
  <c r="B152" i="8"/>
  <c r="A153" i="8"/>
  <c r="B153" i="8"/>
  <c r="A154" i="8"/>
  <c r="B154" i="8"/>
  <c r="A155" i="8"/>
  <c r="B155" i="8"/>
  <c r="A156" i="8"/>
  <c r="B156" i="8"/>
  <c r="A157" i="8"/>
  <c r="B157" i="8"/>
  <c r="A158" i="8"/>
  <c r="B158" i="8"/>
  <c r="A159" i="8"/>
  <c r="B159" i="8"/>
  <c r="A160" i="8"/>
  <c r="B160" i="8"/>
  <c r="A161" i="8"/>
  <c r="B161" i="8"/>
  <c r="A162" i="8"/>
  <c r="B162" i="8"/>
  <c r="A163" i="8"/>
  <c r="B163" i="8"/>
  <c r="A164" i="8"/>
  <c r="B164" i="8"/>
  <c r="A165" i="8"/>
  <c r="B165" i="8"/>
  <c r="A166" i="8"/>
  <c r="B166" i="8"/>
  <c r="A167" i="8"/>
  <c r="B167" i="8"/>
  <c r="A168" i="8"/>
  <c r="B168" i="8"/>
  <c r="A169" i="8"/>
  <c r="B169" i="8"/>
  <c r="A170" i="8"/>
  <c r="B170" i="8"/>
  <c r="A171" i="8"/>
  <c r="B171" i="8"/>
  <c r="A172" i="8"/>
  <c r="B172" i="8"/>
  <c r="A173" i="8"/>
  <c r="B173" i="8"/>
  <c r="A174" i="8"/>
  <c r="B174" i="8"/>
  <c r="A175" i="8"/>
  <c r="B175" i="8"/>
  <c r="A176" i="8"/>
  <c r="B176" i="8"/>
  <c r="A177" i="8"/>
  <c r="B177" i="8"/>
  <c r="A178" i="8"/>
  <c r="B178" i="8"/>
  <c r="A179" i="8"/>
  <c r="B179" i="8"/>
  <c r="A180" i="8"/>
  <c r="B180" i="8"/>
  <c r="A181" i="8"/>
  <c r="B181" i="8"/>
  <c r="A182" i="8"/>
  <c r="B182" i="8"/>
  <c r="A183" i="8"/>
  <c r="B183" i="8"/>
  <c r="A184" i="8"/>
  <c r="B184" i="8"/>
  <c r="A185" i="8"/>
  <c r="B185" i="8"/>
  <c r="A186" i="8"/>
  <c r="B186" i="8"/>
  <c r="A187" i="8"/>
  <c r="B187" i="8"/>
  <c r="A188" i="8"/>
  <c r="B188" i="8"/>
  <c r="A189" i="8"/>
  <c r="B189" i="8"/>
  <c r="A190" i="8"/>
  <c r="B190" i="8"/>
  <c r="A191" i="8"/>
  <c r="B191" i="8"/>
  <c r="A192" i="8"/>
  <c r="B192" i="8"/>
  <c r="A193" i="8"/>
  <c r="B193" i="8"/>
  <c r="A194" i="8"/>
  <c r="B194" i="8"/>
  <c r="A195" i="8"/>
  <c r="B195" i="8"/>
  <c r="A196" i="8"/>
  <c r="B196" i="8"/>
  <c r="A197" i="8"/>
  <c r="B197" i="8"/>
  <c r="A198" i="8"/>
  <c r="B198" i="8"/>
  <c r="A199" i="8"/>
  <c r="B199" i="8"/>
  <c r="A200" i="8"/>
  <c r="B200" i="8"/>
  <c r="A201" i="8"/>
  <c r="B201" i="8"/>
  <c r="A202" i="8"/>
  <c r="B202" i="8"/>
  <c r="A203" i="8"/>
  <c r="B203" i="8"/>
  <c r="A204" i="8"/>
  <c r="B204" i="8"/>
  <c r="A205" i="8"/>
  <c r="B205" i="8"/>
  <c r="A206" i="8"/>
  <c r="B206" i="8"/>
  <c r="A207" i="8"/>
  <c r="B207" i="8"/>
  <c r="A208" i="8"/>
  <c r="B208" i="8"/>
  <c r="A209" i="8"/>
  <c r="B209" i="8"/>
  <c r="A210" i="8"/>
  <c r="B210" i="8"/>
  <c r="A211" i="8"/>
  <c r="B211" i="8"/>
  <c r="A212" i="8"/>
  <c r="B212" i="8"/>
  <c r="A213" i="8"/>
  <c r="B213" i="8"/>
  <c r="A214" i="8"/>
  <c r="B214" i="8"/>
  <c r="A215" i="8"/>
  <c r="B215" i="8"/>
  <c r="A216" i="8"/>
  <c r="B216" i="8"/>
  <c r="A217" i="8"/>
  <c r="B217" i="8"/>
  <c r="A218" i="8"/>
  <c r="B218" i="8"/>
  <c r="A219" i="8"/>
  <c r="B219" i="8"/>
  <c r="A220" i="8"/>
  <c r="B220" i="8"/>
  <c r="A221" i="8"/>
  <c r="B221" i="8"/>
  <c r="A222" i="8"/>
  <c r="B222" i="8"/>
  <c r="A223" i="8"/>
  <c r="B223" i="8"/>
  <c r="A224" i="8"/>
  <c r="B224" i="8"/>
  <c r="A225" i="8"/>
  <c r="B225" i="8"/>
  <c r="A226" i="8"/>
  <c r="B226" i="8"/>
  <c r="A227" i="8"/>
  <c r="B227" i="8"/>
  <c r="A228" i="8"/>
  <c r="B228" i="8"/>
  <c r="A229" i="8"/>
  <c r="B229" i="8"/>
  <c r="A230" i="8"/>
  <c r="B230" i="8"/>
  <c r="A231" i="8"/>
  <c r="B231" i="8"/>
  <c r="A232" i="8"/>
  <c r="B232" i="8"/>
  <c r="A233" i="8"/>
  <c r="B233" i="8"/>
  <c r="A234" i="8"/>
  <c r="B234" i="8"/>
  <c r="A235" i="8"/>
  <c r="B235" i="8"/>
  <c r="A236" i="8"/>
  <c r="B236" i="8"/>
  <c r="A237" i="8"/>
  <c r="B237" i="8"/>
  <c r="A238" i="8"/>
  <c r="B238" i="8"/>
  <c r="A239" i="8"/>
  <c r="B239" i="8"/>
  <c r="A240" i="8"/>
  <c r="B240" i="8"/>
  <c r="A241" i="8"/>
  <c r="B241" i="8"/>
  <c r="A242" i="8"/>
  <c r="B242" i="8"/>
  <c r="A243" i="8"/>
  <c r="B243" i="8"/>
  <c r="A244" i="8"/>
  <c r="B244" i="8"/>
  <c r="A245" i="8"/>
  <c r="B245" i="8"/>
  <c r="A246" i="8"/>
  <c r="B246" i="8"/>
  <c r="A247" i="8"/>
  <c r="B247" i="8"/>
  <c r="A248" i="8"/>
  <c r="B248" i="8"/>
  <c r="A249" i="8"/>
  <c r="B249" i="8"/>
  <c r="A250" i="8"/>
  <c r="B250" i="8"/>
  <c r="A251" i="8"/>
  <c r="B251" i="8"/>
  <c r="A252" i="8"/>
  <c r="B252" i="8"/>
  <c r="A253" i="8"/>
  <c r="B253" i="8"/>
  <c r="A254" i="8"/>
  <c r="B254" i="8"/>
  <c r="A255" i="8"/>
  <c r="B255" i="8"/>
  <c r="A256" i="8"/>
  <c r="B256" i="8"/>
  <c r="A257" i="8"/>
  <c r="B257" i="8"/>
  <c r="A258" i="8"/>
  <c r="B258" i="8"/>
  <c r="A259" i="8"/>
  <c r="B259" i="8"/>
  <c r="A260" i="8"/>
  <c r="B260" i="8"/>
  <c r="A261" i="8"/>
  <c r="B261" i="8"/>
  <c r="A262" i="8"/>
  <c r="B262" i="8"/>
  <c r="A263" i="8"/>
  <c r="B263" i="8"/>
  <c r="A264" i="8"/>
  <c r="B264" i="8"/>
  <c r="A265" i="8"/>
  <c r="B265" i="8"/>
  <c r="A266" i="8"/>
  <c r="B266" i="8"/>
  <c r="A267" i="8"/>
  <c r="B267" i="8"/>
  <c r="A268" i="8"/>
  <c r="B268" i="8"/>
  <c r="A269" i="8"/>
  <c r="B269" i="8"/>
  <c r="A270" i="8"/>
  <c r="B270" i="8"/>
  <c r="A271" i="8"/>
  <c r="B271" i="8"/>
  <c r="A272" i="8"/>
  <c r="B272" i="8"/>
  <c r="A273" i="8"/>
  <c r="B273" i="8"/>
  <c r="A274" i="8"/>
  <c r="B274" i="8"/>
  <c r="A275" i="8"/>
  <c r="B275" i="8"/>
  <c r="A276" i="8"/>
  <c r="B276" i="8"/>
  <c r="A277" i="8"/>
  <c r="B277" i="8"/>
  <c r="A278" i="8"/>
  <c r="B278" i="8"/>
  <c r="A279" i="8"/>
  <c r="B279" i="8"/>
  <c r="A280" i="8"/>
  <c r="B280" i="8"/>
  <c r="A281" i="8"/>
  <c r="B281" i="8"/>
  <c r="A282" i="8"/>
  <c r="B282" i="8"/>
  <c r="A283" i="8"/>
  <c r="B283" i="8"/>
  <c r="A284" i="8"/>
  <c r="B284" i="8"/>
  <c r="A285" i="8"/>
  <c r="B285" i="8"/>
  <c r="A286" i="8"/>
  <c r="B286" i="8"/>
  <c r="A287" i="8"/>
  <c r="B287" i="8"/>
  <c r="A288" i="8"/>
  <c r="B288" i="8"/>
  <c r="A289" i="8"/>
  <c r="B289" i="8"/>
  <c r="A290" i="8"/>
  <c r="B290" i="8"/>
  <c r="A291" i="8"/>
  <c r="B291" i="8"/>
  <c r="A292" i="8"/>
  <c r="B292" i="8"/>
  <c r="A293" i="8"/>
  <c r="B293" i="8"/>
  <c r="A294" i="8"/>
  <c r="B294" i="8"/>
  <c r="A295" i="8"/>
  <c r="B295" i="8"/>
  <c r="A296" i="8"/>
  <c r="B296" i="8"/>
  <c r="A297" i="8"/>
  <c r="B297" i="8"/>
  <c r="A298" i="8"/>
  <c r="B298" i="8"/>
  <c r="A299" i="8"/>
  <c r="B299" i="8"/>
  <c r="A300" i="8"/>
  <c r="B300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2" i="8"/>
  <c r="I60" i="4"/>
  <c r="B306" i="4"/>
  <c r="A306" i="4"/>
  <c r="B305" i="4"/>
  <c r="A305" i="4"/>
  <c r="B304" i="4"/>
  <c r="A304" i="4"/>
  <c r="B303" i="4"/>
  <c r="A303" i="4"/>
  <c r="B302" i="4"/>
  <c r="A302" i="4"/>
  <c r="B301" i="4"/>
  <c r="A301" i="4"/>
  <c r="B300" i="4"/>
  <c r="A300" i="4"/>
  <c r="B299" i="4"/>
  <c r="A299" i="4"/>
  <c r="B298" i="4"/>
  <c r="A298" i="4"/>
  <c r="B297" i="4"/>
  <c r="A297" i="4"/>
  <c r="B296" i="4"/>
  <c r="A296" i="4"/>
  <c r="B295" i="4"/>
  <c r="A295" i="4"/>
  <c r="B294" i="4"/>
  <c r="A294" i="4"/>
  <c r="B293" i="4"/>
  <c r="A293" i="4"/>
  <c r="B292" i="4"/>
  <c r="A292" i="4"/>
  <c r="B291" i="4"/>
  <c r="A291" i="4"/>
  <c r="B290" i="4"/>
  <c r="A290" i="4"/>
  <c r="B289" i="4"/>
  <c r="A289" i="4"/>
  <c r="B288" i="4"/>
  <c r="A288" i="4"/>
  <c r="B287" i="4"/>
  <c r="A287" i="4"/>
  <c r="B286" i="4"/>
  <c r="A286" i="4"/>
  <c r="B285" i="4"/>
  <c r="A285" i="4"/>
  <c r="B284" i="4"/>
  <c r="A284" i="4"/>
  <c r="B283" i="4"/>
  <c r="A283" i="4"/>
  <c r="B282" i="4"/>
  <c r="A282" i="4"/>
  <c r="B281" i="4"/>
  <c r="A281" i="4"/>
  <c r="B280" i="4"/>
  <c r="A280" i="4"/>
  <c r="B279" i="4"/>
  <c r="A279" i="4"/>
  <c r="B278" i="4"/>
  <c r="A278" i="4"/>
  <c r="B277" i="4"/>
  <c r="A277" i="4"/>
  <c r="B276" i="4"/>
  <c r="A276" i="4"/>
  <c r="B275" i="4"/>
  <c r="A275" i="4"/>
  <c r="B274" i="4"/>
  <c r="A274" i="4"/>
  <c r="B273" i="4"/>
  <c r="A273" i="4"/>
  <c r="B272" i="4"/>
  <c r="A272" i="4"/>
  <c r="B271" i="4"/>
  <c r="A271" i="4"/>
  <c r="B270" i="4"/>
  <c r="A270" i="4"/>
  <c r="B269" i="4"/>
  <c r="A269" i="4"/>
  <c r="B268" i="4"/>
  <c r="A268" i="4"/>
  <c r="B267" i="4"/>
  <c r="A267" i="4"/>
  <c r="B266" i="4"/>
  <c r="A266" i="4"/>
  <c r="B265" i="4"/>
  <c r="A265" i="4"/>
  <c r="B264" i="4"/>
  <c r="A264" i="4"/>
  <c r="B263" i="4"/>
  <c r="A263" i="4"/>
  <c r="B262" i="4"/>
  <c r="A262" i="4"/>
  <c r="B261" i="4"/>
  <c r="A261" i="4"/>
  <c r="B260" i="4"/>
  <c r="A260" i="4"/>
  <c r="B259" i="4"/>
  <c r="A259" i="4"/>
  <c r="B258" i="4"/>
  <c r="A258" i="4"/>
  <c r="B257" i="4"/>
  <c r="A257" i="4"/>
  <c r="B256" i="4"/>
  <c r="A256" i="4"/>
  <c r="B255" i="4"/>
  <c r="A255" i="4"/>
  <c r="B254" i="4"/>
  <c r="A254" i="4"/>
  <c r="B253" i="4"/>
  <c r="A253" i="4"/>
  <c r="B252" i="4"/>
  <c r="A252" i="4"/>
  <c r="B251" i="4"/>
  <c r="A251" i="4"/>
  <c r="B250" i="4"/>
  <c r="A250" i="4"/>
  <c r="B249" i="4"/>
  <c r="A249" i="4"/>
  <c r="B248" i="4"/>
  <c r="A248" i="4"/>
  <c r="B247" i="4"/>
  <c r="A247" i="4"/>
  <c r="B246" i="4"/>
  <c r="A246" i="4"/>
  <c r="B245" i="4"/>
  <c r="A245" i="4"/>
  <c r="B244" i="4"/>
  <c r="A244" i="4"/>
  <c r="B243" i="4"/>
  <c r="A243" i="4"/>
  <c r="B242" i="4"/>
  <c r="A242" i="4"/>
  <c r="B241" i="4"/>
  <c r="A241" i="4"/>
  <c r="B240" i="4"/>
  <c r="A240" i="4"/>
  <c r="B239" i="4"/>
  <c r="A239" i="4"/>
  <c r="B238" i="4"/>
  <c r="A238" i="4"/>
  <c r="B237" i="4"/>
  <c r="A237" i="4"/>
  <c r="B236" i="4"/>
  <c r="A236" i="4"/>
  <c r="B235" i="4"/>
  <c r="A235" i="4"/>
  <c r="B234" i="4"/>
  <c r="A234" i="4"/>
  <c r="B233" i="4"/>
  <c r="A233" i="4"/>
  <c r="B232" i="4"/>
  <c r="A232" i="4"/>
  <c r="B231" i="4"/>
  <c r="A231" i="4"/>
  <c r="B230" i="4"/>
  <c r="A230" i="4"/>
  <c r="B229" i="4"/>
  <c r="A229" i="4"/>
  <c r="B228" i="4"/>
  <c r="A228" i="4"/>
  <c r="B227" i="4"/>
  <c r="A227" i="4"/>
  <c r="B226" i="4"/>
  <c r="A226" i="4"/>
  <c r="B225" i="4"/>
  <c r="A225" i="4"/>
  <c r="B224" i="4"/>
  <c r="A224" i="4"/>
  <c r="B223" i="4"/>
  <c r="A223" i="4"/>
  <c r="B222" i="4"/>
  <c r="A222" i="4"/>
  <c r="B221" i="4"/>
  <c r="A221" i="4"/>
  <c r="B220" i="4"/>
  <c r="A220" i="4"/>
  <c r="B219" i="4"/>
  <c r="A219" i="4"/>
  <c r="B218" i="4"/>
  <c r="A218" i="4"/>
  <c r="B217" i="4"/>
  <c r="A217" i="4"/>
  <c r="B216" i="4"/>
  <c r="A216" i="4"/>
  <c r="B215" i="4"/>
  <c r="A215" i="4"/>
  <c r="B214" i="4"/>
  <c r="A214" i="4"/>
  <c r="B213" i="4"/>
  <c r="A213" i="4"/>
  <c r="B212" i="4"/>
  <c r="A212" i="4"/>
  <c r="B211" i="4"/>
  <c r="A211" i="4"/>
  <c r="B210" i="4"/>
  <c r="A210" i="4"/>
  <c r="B209" i="4"/>
  <c r="A209" i="4"/>
  <c r="B208" i="4"/>
  <c r="A208" i="4"/>
  <c r="B207" i="4"/>
  <c r="A207" i="4"/>
  <c r="B206" i="4"/>
  <c r="A206" i="4"/>
  <c r="B205" i="4"/>
  <c r="A205" i="4"/>
  <c r="B204" i="4"/>
  <c r="A204" i="4"/>
  <c r="B203" i="4"/>
  <c r="A203" i="4"/>
  <c r="B202" i="4"/>
  <c r="A202" i="4"/>
  <c r="B201" i="4"/>
  <c r="A201" i="4"/>
  <c r="B200" i="4"/>
  <c r="A200" i="4"/>
  <c r="B199" i="4"/>
  <c r="A199" i="4"/>
  <c r="B198" i="4"/>
  <c r="A198" i="4"/>
  <c r="B197" i="4"/>
  <c r="A197" i="4"/>
  <c r="B196" i="4"/>
  <c r="A196" i="4"/>
  <c r="B195" i="4"/>
  <c r="A195" i="4"/>
  <c r="B194" i="4"/>
  <c r="A194" i="4"/>
  <c r="B193" i="4"/>
  <c r="A193" i="4"/>
  <c r="B192" i="4"/>
  <c r="A192" i="4"/>
  <c r="B191" i="4"/>
  <c r="A191" i="4"/>
  <c r="B190" i="4"/>
  <c r="A190" i="4"/>
  <c r="B189" i="4"/>
  <c r="A189" i="4"/>
  <c r="B188" i="4"/>
  <c r="A188" i="4"/>
  <c r="B187" i="4"/>
  <c r="A187" i="4"/>
  <c r="B186" i="4"/>
  <c r="A186" i="4"/>
  <c r="B185" i="4"/>
  <c r="A185" i="4"/>
  <c r="B184" i="4"/>
  <c r="A184" i="4"/>
  <c r="B183" i="4"/>
  <c r="A183" i="4"/>
  <c r="B182" i="4"/>
  <c r="A182" i="4"/>
  <c r="B181" i="4"/>
  <c r="A181" i="4"/>
  <c r="B180" i="4"/>
  <c r="A180" i="4"/>
  <c r="B179" i="4"/>
  <c r="A179" i="4"/>
  <c r="B178" i="4"/>
  <c r="A178" i="4"/>
  <c r="B177" i="4"/>
  <c r="A177" i="4"/>
  <c r="B176" i="4"/>
  <c r="A176" i="4"/>
  <c r="B175" i="4"/>
  <c r="A175" i="4"/>
  <c r="B174" i="4"/>
  <c r="A174" i="4"/>
  <c r="B173" i="4"/>
  <c r="A173" i="4"/>
  <c r="B172" i="4"/>
  <c r="A172" i="4"/>
  <c r="B171" i="4"/>
  <c r="A171" i="4"/>
  <c r="B170" i="4"/>
  <c r="A170" i="4"/>
  <c r="B169" i="4"/>
  <c r="A169" i="4"/>
  <c r="B168" i="4"/>
  <c r="A168" i="4"/>
  <c r="B167" i="4"/>
  <c r="A167" i="4"/>
  <c r="B166" i="4"/>
  <c r="A166" i="4"/>
  <c r="B165" i="4"/>
  <c r="A165" i="4"/>
  <c r="B164" i="4"/>
  <c r="A164" i="4"/>
  <c r="B163" i="4"/>
  <c r="A163" i="4"/>
  <c r="B162" i="4"/>
  <c r="A162" i="4"/>
  <c r="B161" i="4"/>
  <c r="A161" i="4"/>
  <c r="B160" i="4"/>
  <c r="A160" i="4"/>
  <c r="B159" i="4"/>
  <c r="A159" i="4"/>
  <c r="B158" i="4"/>
  <c r="A158" i="4"/>
  <c r="B157" i="4"/>
  <c r="A157" i="4"/>
  <c r="B156" i="4"/>
  <c r="A156" i="4"/>
  <c r="B155" i="4"/>
  <c r="A155" i="4"/>
  <c r="B154" i="4"/>
  <c r="A154" i="4"/>
  <c r="B153" i="4"/>
  <c r="A153" i="4"/>
  <c r="B152" i="4"/>
  <c r="A152" i="4"/>
  <c r="B151" i="4"/>
  <c r="A151" i="4"/>
  <c r="B150" i="4"/>
  <c r="A150" i="4"/>
  <c r="B149" i="4"/>
  <c r="A149" i="4"/>
  <c r="B148" i="4"/>
  <c r="A148" i="4"/>
  <c r="B147" i="4"/>
  <c r="A147" i="4"/>
  <c r="B146" i="4"/>
  <c r="A146" i="4"/>
  <c r="B145" i="4"/>
  <c r="A145" i="4"/>
  <c r="B144" i="4"/>
  <c r="A144" i="4"/>
  <c r="B143" i="4"/>
  <c r="A143" i="4"/>
  <c r="B142" i="4"/>
  <c r="A142" i="4"/>
  <c r="B141" i="4"/>
  <c r="A141" i="4"/>
  <c r="B140" i="4"/>
  <c r="A140" i="4"/>
  <c r="B139" i="4"/>
  <c r="A139" i="4"/>
  <c r="B138" i="4"/>
  <c r="A138" i="4"/>
  <c r="B137" i="4"/>
  <c r="A137" i="4"/>
  <c r="B136" i="4"/>
  <c r="A136" i="4"/>
  <c r="B135" i="4"/>
  <c r="A135" i="4"/>
  <c r="B134" i="4"/>
  <c r="A134" i="4"/>
  <c r="B133" i="4"/>
  <c r="A133" i="4"/>
  <c r="B132" i="4"/>
  <c r="A132" i="4"/>
  <c r="B131" i="4"/>
  <c r="A131" i="4"/>
  <c r="B130" i="4"/>
  <c r="A130" i="4"/>
  <c r="B129" i="4"/>
  <c r="A129" i="4"/>
  <c r="B128" i="4"/>
  <c r="A128" i="4"/>
  <c r="B127" i="4"/>
  <c r="A127" i="4"/>
  <c r="B126" i="4"/>
  <c r="A126" i="4"/>
  <c r="B125" i="4"/>
  <c r="A125" i="4"/>
  <c r="B124" i="4"/>
  <c r="A124" i="4"/>
  <c r="B123" i="4"/>
  <c r="A123" i="4"/>
  <c r="B122" i="4"/>
  <c r="A122" i="4"/>
  <c r="B121" i="4"/>
  <c r="A121" i="4"/>
  <c r="B120" i="4"/>
  <c r="A120" i="4"/>
  <c r="B119" i="4"/>
  <c r="A119" i="4"/>
  <c r="B118" i="4"/>
  <c r="A118" i="4"/>
  <c r="B117" i="4"/>
  <c r="A117" i="4"/>
  <c r="B116" i="4"/>
  <c r="A116" i="4"/>
  <c r="B115" i="4"/>
  <c r="A115" i="4"/>
  <c r="B114" i="4"/>
  <c r="A114" i="4"/>
  <c r="B113" i="4"/>
  <c r="A113" i="4"/>
  <c r="B112" i="4"/>
  <c r="A112" i="4"/>
  <c r="B111" i="4"/>
  <c r="A111" i="4"/>
  <c r="B110" i="4"/>
  <c r="A110" i="4"/>
  <c r="B109" i="4"/>
  <c r="A109" i="4"/>
  <c r="B108" i="4"/>
  <c r="A108" i="4"/>
  <c r="B107" i="4"/>
  <c r="A107" i="4"/>
  <c r="B106" i="4"/>
  <c r="A106" i="4"/>
  <c r="B105" i="4"/>
  <c r="A105" i="4"/>
  <c r="B104" i="4"/>
  <c r="A104" i="4"/>
  <c r="B103" i="4"/>
  <c r="A103" i="4"/>
  <c r="B102" i="4"/>
  <c r="A102" i="4"/>
  <c r="B101" i="4"/>
  <c r="A101" i="4"/>
  <c r="B100" i="4"/>
  <c r="A100" i="4"/>
  <c r="B99" i="4"/>
  <c r="A99" i="4"/>
  <c r="B98" i="4"/>
  <c r="A98" i="4"/>
  <c r="B97" i="4"/>
  <c r="A97" i="4"/>
  <c r="B96" i="4"/>
  <c r="A96" i="4"/>
  <c r="B95" i="4"/>
  <c r="A95" i="4"/>
  <c r="B94" i="4"/>
  <c r="A94" i="4"/>
  <c r="B93" i="4"/>
  <c r="A93" i="4"/>
  <c r="B92" i="4"/>
  <c r="A92" i="4"/>
  <c r="B91" i="4"/>
  <c r="A91" i="4"/>
  <c r="B90" i="4"/>
  <c r="A90" i="4"/>
  <c r="B89" i="4"/>
  <c r="A89" i="4"/>
  <c r="B88" i="4"/>
  <c r="A88" i="4"/>
  <c r="B87" i="4"/>
  <c r="A87" i="4"/>
  <c r="B86" i="4"/>
  <c r="A86" i="4"/>
  <c r="B85" i="4"/>
  <c r="A85" i="4"/>
  <c r="B84" i="4"/>
  <c r="A84" i="4"/>
  <c r="B83" i="4"/>
  <c r="A83" i="4"/>
  <c r="B82" i="4"/>
  <c r="A82" i="4"/>
  <c r="B81" i="4"/>
  <c r="A81" i="4"/>
  <c r="B80" i="4"/>
  <c r="A80" i="4"/>
  <c r="B79" i="4"/>
  <c r="A79" i="4"/>
  <c r="B78" i="4"/>
  <c r="A78" i="4"/>
  <c r="B77" i="4"/>
  <c r="A77" i="4"/>
  <c r="B76" i="4"/>
  <c r="A76" i="4"/>
  <c r="B75" i="4"/>
  <c r="A75" i="4"/>
  <c r="B74" i="4"/>
  <c r="A74" i="4"/>
  <c r="B73" i="4"/>
  <c r="A73" i="4"/>
  <c r="B72" i="4"/>
  <c r="A72" i="4"/>
  <c r="B71" i="4"/>
  <c r="A71" i="4"/>
  <c r="B70" i="4"/>
  <c r="A70" i="4"/>
  <c r="B69" i="4"/>
  <c r="A69" i="4"/>
  <c r="B68" i="4"/>
  <c r="A68" i="4"/>
  <c r="B67" i="4"/>
  <c r="A67" i="4"/>
  <c r="B66" i="4"/>
  <c r="A66" i="4"/>
  <c r="B65" i="4"/>
  <c r="A65" i="4"/>
  <c r="B64" i="4"/>
  <c r="A64" i="4"/>
  <c r="B63" i="4"/>
  <c r="A63" i="4"/>
  <c r="B62" i="4"/>
  <c r="A62" i="4"/>
  <c r="B61" i="4"/>
  <c r="A61" i="4"/>
  <c r="B60" i="4"/>
  <c r="A60" i="4"/>
  <c r="B59" i="4"/>
  <c r="A59" i="4"/>
  <c r="B58" i="4"/>
  <c r="A58" i="4"/>
  <c r="B57" i="4"/>
  <c r="A57" i="4"/>
  <c r="B56" i="4"/>
  <c r="A56" i="4"/>
  <c r="B55" i="4"/>
  <c r="A55" i="4"/>
  <c r="B54" i="4"/>
  <c r="A54" i="4"/>
  <c r="B53" i="4"/>
  <c r="A53" i="4"/>
  <c r="B52" i="4"/>
  <c r="A52" i="4"/>
  <c r="B51" i="4"/>
  <c r="A51" i="4"/>
  <c r="B50" i="4"/>
  <c r="A50" i="4"/>
  <c r="B49" i="4"/>
  <c r="A49" i="4"/>
  <c r="B48" i="4"/>
  <c r="A48" i="4"/>
  <c r="B47" i="4"/>
  <c r="A47" i="4"/>
  <c r="B46" i="4"/>
  <c r="A46" i="4"/>
  <c r="B45" i="4"/>
  <c r="A45" i="4"/>
  <c r="B44" i="4"/>
  <c r="A44" i="4"/>
  <c r="B43" i="4"/>
  <c r="A43" i="4"/>
  <c r="B42" i="4"/>
  <c r="A42" i="4"/>
  <c r="B41" i="4"/>
  <c r="A41" i="4"/>
  <c r="B40" i="4"/>
  <c r="A40" i="4"/>
  <c r="B39" i="4"/>
  <c r="A39" i="4"/>
  <c r="B38" i="4"/>
  <c r="A38" i="4"/>
  <c r="B37" i="4"/>
  <c r="A37" i="4"/>
  <c r="B36" i="4"/>
  <c r="A36" i="4"/>
  <c r="B35" i="4"/>
  <c r="A35" i="4"/>
  <c r="B34" i="4"/>
  <c r="A34" i="4"/>
  <c r="B33" i="4"/>
  <c r="A33" i="4"/>
  <c r="B32" i="4"/>
  <c r="A32" i="4"/>
  <c r="B31" i="4"/>
  <c r="A31" i="4"/>
  <c r="B30" i="4"/>
  <c r="A30" i="4"/>
  <c r="B29" i="4"/>
  <c r="A29" i="4"/>
  <c r="B28" i="4"/>
  <c r="A28" i="4"/>
  <c r="B27" i="4"/>
  <c r="A27" i="4"/>
  <c r="B26" i="4"/>
  <c r="A26" i="4"/>
  <c r="B25" i="4"/>
  <c r="A25" i="4"/>
  <c r="B24" i="4"/>
  <c r="A24" i="4"/>
  <c r="B23" i="4"/>
  <c r="A23" i="4"/>
  <c r="B22" i="4"/>
  <c r="A22" i="4"/>
  <c r="B21" i="4"/>
  <c r="A21" i="4"/>
  <c r="B20" i="4"/>
  <c r="A20" i="4"/>
  <c r="B19" i="4"/>
  <c r="A19" i="4"/>
  <c r="B18" i="4"/>
  <c r="A18" i="4"/>
  <c r="B17" i="4"/>
  <c r="A17" i="4"/>
  <c r="B16" i="4"/>
  <c r="A16" i="4"/>
  <c r="B15" i="4"/>
  <c r="A15" i="4"/>
  <c r="B14" i="4"/>
  <c r="A14" i="4"/>
  <c r="B13" i="4"/>
  <c r="A13" i="4"/>
  <c r="B12" i="4"/>
  <c r="A12" i="4"/>
  <c r="B11" i="4"/>
  <c r="A11" i="4"/>
  <c r="B10" i="4"/>
  <c r="A10" i="4"/>
  <c r="B9" i="4"/>
  <c r="A9" i="4"/>
  <c r="B8" i="4"/>
  <c r="A8" i="4"/>
  <c r="B7" i="4"/>
  <c r="A7" i="4"/>
  <c r="B6" i="4"/>
  <c r="A6" i="4"/>
  <c r="B5" i="4"/>
  <c r="A5" i="4"/>
  <c r="B4" i="4"/>
  <c r="A4" i="4"/>
  <c r="B3" i="4"/>
  <c r="A3" i="4"/>
  <c r="B2" i="4"/>
  <c r="A2" i="4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connections.xml><?xml version="1.0" encoding="utf-8"?>
<connections xmlns="http://schemas.openxmlformats.org/spreadsheetml/2006/main">
  <connection id="1" name="連線" type="4" refreshedVersion="4" background="1" saveData="1">
    <webPr sourceData="1" parsePre="1" consecutive="1" xl2000="1" url="http://www.digitimes.com.tw/tw/dt/dtpage_cold.asp"/>
  </connection>
  <connection id="2" name="連線1" type="4" refreshedVersion="4" background="1" saveData="1">
    <webPr sourceData="1" parsePre="1" consecutive="1" xl2000="1" url="http://udn.com/rank/newest/2/6644" htmlFormat="all"/>
  </connection>
  <connection id="3" name="連線2" type="4" refreshedVersion="4" background="1" saveData="1">
    <webPr sourceData="1" parsePre="1" consecutive="1" xl2000="1" url="http://www.chinatimes.com/money/securities" htmlFormat="all"/>
  </connection>
  <connection id="4" name="連線3" type="4" refreshedVersion="4" background="1" saveData="1">
    <webPr sourceData="1" parsePre="1" consecutive="1" xl2000="1" url="http://www.chinatimes.com/money/focus" htmlFormat="all"/>
  </connection>
  <connection id="5" name="連線4" type="4" refreshedVersion="4" background="1" saveData="1">
    <webPr sourceData="1" parsePre="1" consecutive="1" xl2000="1" url="http://www.chinatimes.com/money/securities?page=2" htmlFormat="all"/>
  </connection>
  <connection id="6" name="連線5" type="4" refreshedVersion="4" background="1" saveData="1">
    <webPr sourceData="1" parsePre="1" consecutive="1" xl2000="1" url="http://udn.com/rank/pv/2/6645" htmlFormat="all"/>
  </connection>
</connections>
</file>

<file path=xl/sharedStrings.xml><?xml version="1.0" encoding="utf-8"?>
<sst xmlns="http://schemas.openxmlformats.org/spreadsheetml/2006/main" count="5004" uniqueCount="3998">
  <si>
    <t>首頁</t>
  </si>
  <si>
    <t>財經</t>
  </si>
  <si>
    <t>要聞</t>
  </si>
  <si>
    <t>新聞總覽</t>
  </si>
  <si>
    <t>財經要聞總覽(第1頁)</t>
  </si>
  <si>
    <t>第一頁</t>
  </si>
  <si>
    <t>上一頁</t>
  </si>
  <si>
    <t>下一頁</t>
  </si>
  <si>
    <t>最後一頁</t>
  </si>
  <si>
    <t>最熱財經新聞</t>
  </si>
  <si>
    <t>Top</t>
  </si>
  <si>
    <t>買東西</t>
  </si>
  <si>
    <t>有設計</t>
  </si>
  <si>
    <t>NBA</t>
  </si>
  <si>
    <t>追星</t>
  </si>
  <si>
    <t>元氣網</t>
  </si>
  <si>
    <t>選舉</t>
  </si>
  <si>
    <t>鳴人堂</t>
  </si>
  <si>
    <t>國際</t>
  </si>
  <si>
    <t>基金</t>
  </si>
  <si>
    <t>房地產</t>
  </si>
  <si>
    <t>讀書吧</t>
  </si>
  <si>
    <t>讀小說</t>
  </si>
  <si>
    <t>汽車</t>
  </si>
  <si>
    <t>時尚</t>
  </si>
  <si>
    <t>▼</t>
  </si>
  <si>
    <t>話題</t>
  </si>
  <si>
    <t>願景</t>
  </si>
  <si>
    <t>外貿網</t>
  </si>
  <si>
    <t>新鮮事</t>
  </si>
  <si>
    <t>部落格</t>
  </si>
  <si>
    <t>行旅</t>
  </si>
  <si>
    <t>捷客</t>
  </si>
  <si>
    <t>知識庫</t>
  </si>
  <si>
    <t>電子報</t>
  </si>
  <si>
    <t>售票網</t>
  </si>
  <si>
    <t>影音</t>
  </si>
  <si>
    <t>有元氣</t>
  </si>
  <si>
    <t>健康</t>
  </si>
  <si>
    <t>NBA台灣</t>
  </si>
  <si>
    <t>即時</t>
  </si>
  <si>
    <t>娛樂</t>
  </si>
  <si>
    <t>運動</t>
  </si>
  <si>
    <t>全球</t>
  </si>
  <si>
    <t>社會</t>
  </si>
  <si>
    <t>產經</t>
  </si>
  <si>
    <t>股市</t>
  </si>
  <si>
    <t>生活</t>
  </si>
  <si>
    <t>文教</t>
  </si>
  <si>
    <t>評論</t>
  </si>
  <si>
    <t>地方</t>
  </si>
  <si>
    <t>兩岸</t>
  </si>
  <si>
    <t>數位</t>
  </si>
  <si>
    <t>旅遊</t>
  </si>
  <si>
    <t>閱讀</t>
  </si>
  <si>
    <t>雜誌</t>
  </si>
  <si>
    <t>購物</t>
  </si>
  <si>
    <t>熱門</t>
  </si>
  <si>
    <t>myMusic音樂推薦</t>
  </si>
  <si>
    <r>
      <t>udn</t>
    </r>
    <r>
      <rPr>
        <u/>
        <sz val="12"/>
        <color theme="10"/>
        <rFont val="新細明體"/>
        <family val="2"/>
        <charset val="136"/>
        <scheme val="minor"/>
      </rPr>
      <t xml:space="preserve"> / 排行</t>
    </r>
  </si>
  <si>
    <t>全站總排行</t>
  </si>
  <si>
    <t>最新文章</t>
  </si>
  <si>
    <t>熱門文章</t>
  </si>
  <si>
    <t>最多分享</t>
  </si>
  <si>
    <t>標題</t>
  </si>
  <si>
    <t>類別</t>
  </si>
  <si>
    <t>出版時間</t>
  </si>
  <si>
    <t>瀏覽數</t>
  </si>
  <si>
    <t>分享數</t>
  </si>
  <si>
    <r>
      <t>臉書分享</t>
    </r>
    <r>
      <rPr>
        <u/>
        <sz val="12"/>
        <color theme="10"/>
        <rFont val="新細明體"/>
        <family val="2"/>
        <charset val="136"/>
        <scheme val="minor"/>
      </rPr>
      <t xml:space="preserve"> </t>
    </r>
  </si>
  <si>
    <t>關注 udn</t>
  </si>
  <si>
    <t>udn facebook</t>
  </si>
  <si>
    <t>udn google +</t>
  </si>
  <si>
    <t>掃描加入 udn line</t>
  </si>
  <si>
    <t>網群與速覽</t>
  </si>
  <si>
    <t>新聞頻道</t>
  </si>
  <si>
    <t>時事</t>
  </si>
  <si>
    <t>轉角國際</t>
  </si>
  <si>
    <t>相對論</t>
  </si>
  <si>
    <t>排行</t>
  </si>
  <si>
    <t>最新</t>
  </si>
  <si>
    <t>分享</t>
  </si>
  <si>
    <t>健康元氣</t>
  </si>
  <si>
    <t>疾病查詢</t>
  </si>
  <si>
    <t>健康話題</t>
  </si>
  <si>
    <t>健康百科</t>
  </si>
  <si>
    <t>癌症防治</t>
  </si>
  <si>
    <t>運動養生</t>
  </si>
  <si>
    <t>瘦身醫美</t>
  </si>
  <si>
    <t>理財</t>
  </si>
  <si>
    <t>觀點</t>
  </si>
  <si>
    <t>樂透</t>
  </si>
  <si>
    <t>發票</t>
  </si>
  <si>
    <t>比分</t>
  </si>
  <si>
    <t>賽程</t>
  </si>
  <si>
    <t>新聞</t>
  </si>
  <si>
    <t>球評</t>
  </si>
  <si>
    <t>圖輯</t>
  </si>
  <si>
    <t>戰績</t>
  </si>
  <si>
    <t>數據</t>
  </si>
  <si>
    <t>追星總部</t>
  </si>
  <si>
    <t>最新追星</t>
  </si>
  <si>
    <t>哈燒目標</t>
  </si>
  <si>
    <t>圖擊搜查</t>
  </si>
  <si>
    <t>隊長特選</t>
  </si>
  <si>
    <t>追星行程</t>
  </si>
  <si>
    <t>車訊</t>
  </si>
  <si>
    <t>國內車訊</t>
  </si>
  <si>
    <t>國際車訊</t>
  </si>
  <si>
    <t>試駕精選</t>
  </si>
  <si>
    <t>品牌故事</t>
  </si>
  <si>
    <t>DIY&amp;配件</t>
  </si>
  <si>
    <t>style</t>
  </si>
  <si>
    <t>時尚名人</t>
  </si>
  <si>
    <t>流行穿搭</t>
  </si>
  <si>
    <t>美妝保養</t>
  </si>
  <si>
    <t>珠寶鐘錶</t>
  </si>
  <si>
    <t>品味生活</t>
  </si>
  <si>
    <t>兩性愛情</t>
  </si>
  <si>
    <t>影音、社群</t>
  </si>
  <si>
    <t>聯合影音網</t>
  </si>
  <si>
    <t>udn tv</t>
  </si>
  <si>
    <t>udn Line 好友</t>
  </si>
  <si>
    <t>數位閱讀</t>
  </si>
  <si>
    <t>電子報紙</t>
  </si>
  <si>
    <t>電子書</t>
  </si>
  <si>
    <t>電子雜誌</t>
  </si>
  <si>
    <t>新聞全文</t>
  </si>
  <si>
    <t>原版報紙</t>
  </si>
  <si>
    <t>影像圖庫</t>
  </si>
  <si>
    <t>影音知識庫</t>
  </si>
  <si>
    <t>數位典藏</t>
  </si>
  <si>
    <t>加值服務</t>
  </si>
  <si>
    <t>行動網</t>
  </si>
  <si>
    <t>活動特區</t>
  </si>
  <si>
    <t>有行旅</t>
  </si>
  <si>
    <t>刊登網站廣告 ︱ 網站總覽 ︱ FAQ‧客服 ︱ 新聞授權 ︱ 服務條款‧著作權‧隱私權聲明 ︱ 聯合報系 ︱ 訂報紙 ︱ 關於我們 ︱ 招募夥伴</t>
  </si>
  <si>
    <t>聯合線上公司 著作權所有 © udn.com All Rights Reserved.</t>
  </si>
  <si>
    <t>今日新聞</t>
  </si>
  <si>
    <t>生活資訊</t>
  </si>
  <si>
    <t>追星圖擊隊</t>
  </si>
  <si>
    <t>願景工程</t>
  </si>
  <si>
    <t>發燒車訊</t>
  </si>
  <si>
    <t>udnSTYLE</t>
  </si>
  <si>
    <t>時事話題</t>
  </si>
  <si>
    <t>聯合財經網</t>
  </si>
  <si>
    <t>影音網</t>
  </si>
  <si>
    <t>Oops!新鮮事</t>
  </si>
  <si>
    <t>udn 部落格</t>
  </si>
  <si>
    <t>房市</t>
  </si>
  <si>
    <t>我的新聞</t>
  </si>
  <si>
    <t>udn APP</t>
  </si>
  <si>
    <t>網站總覽</t>
  </si>
  <si>
    <t>服務條款</t>
  </si>
  <si>
    <t>刊登網站廣告</t>
  </si>
  <si>
    <t>類別</t>
    <phoneticPr fontId="1" type="noConversion"/>
  </si>
  <si>
    <t>代號</t>
  </si>
  <si>
    <t>名稱</t>
  </si>
  <si>
    <t>收盤價&gt;12MA</t>
    <phoneticPr fontId="1" type="noConversion"/>
  </si>
  <si>
    <t>證券</t>
  </si>
  <si>
    <t>財經證券總覽(第1頁)</t>
  </si>
  <si>
    <t>財經證券總覽(第2頁)</t>
  </si>
  <si>
    <t>台股個股與產業新聞大搜尋</t>
  </si>
  <si>
    <t>首</t>
  </si>
  <si>
    <t>財</t>
  </si>
  <si>
    <t>權</t>
  </si>
  <si>
    <t>台</t>
  </si>
  <si>
    <t>皇</t>
  </si>
  <si>
    <t>華</t>
  </si>
  <si>
    <t>東</t>
  </si>
  <si>
    <t>日</t>
  </si>
  <si>
    <t>封</t>
  </si>
  <si>
    <t>櫃</t>
  </si>
  <si>
    <t>長</t>
  </si>
  <si>
    <t>認</t>
  </si>
  <si>
    <t>生</t>
  </si>
  <si>
    <t>熱</t>
  </si>
  <si>
    <t>龍</t>
  </si>
  <si>
    <t>股</t>
  </si>
  <si>
    <t>金</t>
  </si>
  <si>
    <t>雃</t>
  </si>
  <si>
    <t>聲</t>
  </si>
  <si>
    <t>瑞</t>
  </si>
  <si>
    <t>明</t>
  </si>
  <si>
    <t>毅</t>
  </si>
  <si>
    <t>碩</t>
  </si>
  <si>
    <t>法</t>
  </si>
  <si>
    <t>元</t>
  </si>
  <si>
    <t>選</t>
  </si>
  <si>
    <t>陸</t>
  </si>
  <si>
    <t>殺</t>
  </si>
  <si>
    <t>主</t>
  </si>
  <si>
    <t>大</t>
  </si>
  <si>
    <t>聯</t>
  </si>
  <si>
    <t>無</t>
  </si>
  <si>
    <t>社</t>
  </si>
  <si>
    <t>宣</t>
  </si>
  <si>
    <t>P</t>
  </si>
  <si>
    <t>排名</t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</si>
  <si>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</si>
  <si>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</si>
  <si>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</si>
  <si>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</si>
  <si>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</si>
  <si>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</si>
  <si>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</si>
  <si>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</si>
  <si>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</si>
  <si>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</si>
  <si>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</si>
  <si>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</si>
  <si>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</si>
  <si>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</si>
  <si>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</si>
  <si>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</si>
  <si>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</si>
  <si>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</si>
  <si>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</si>
  <si>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</si>
  <si>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</si>
  <si>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</si>
  <si>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</si>
  <si>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</si>
  <si>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</si>
  <si>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</si>
  <si>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F-鮮活</t>
  </si>
  <si>
    <t>F-其祥</t>
  </si>
  <si>
    <t>安心</t>
  </si>
  <si>
    <t>F-綠悅</t>
  </si>
  <si>
    <t>德麥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</si>
  <si>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</si>
  <si>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</si>
  <si>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</si>
  <si>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</si>
  <si>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</si>
  <si>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</si>
  <si>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</si>
  <si>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</si>
  <si>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</si>
  <si>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</si>
  <si>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</si>
  <si>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</si>
  <si>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</si>
  <si>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</si>
  <si>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</si>
  <si>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</si>
  <si>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</si>
  <si>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台化</t>
  </si>
  <si>
    <t>恩得利</t>
  </si>
  <si>
    <t>台翰</t>
  </si>
  <si>
    <t>F-再生</t>
  </si>
  <si>
    <t>F-廣華</t>
  </si>
  <si>
    <t>昭輝</t>
  </si>
  <si>
    <t>F-勝悅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</si>
  <si>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</si>
  <si>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</si>
  <si>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</si>
  <si>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</si>
  <si>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</si>
  <si>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</si>
  <si>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</si>
  <si>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</si>
  <si>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</si>
  <si>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</si>
  <si>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</si>
  <si>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</si>
  <si>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</si>
  <si>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</si>
  <si>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</si>
  <si>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裕豐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</si>
  <si>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</si>
  <si>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</si>
  <si>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</si>
  <si>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</si>
  <si>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</si>
  <si>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</si>
  <si>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</si>
  <si>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</si>
  <si>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</si>
  <si>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</si>
  <si>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</si>
  <si>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</si>
  <si>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</si>
  <si>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</si>
  <si>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</si>
  <si>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</si>
  <si>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</si>
  <si>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</si>
  <si>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</si>
  <si>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</si>
  <si>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</si>
  <si>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</si>
  <si>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</si>
  <si>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</si>
  <si>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</si>
  <si>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理隆</t>
  </si>
  <si>
    <t>大統染</t>
  </si>
  <si>
    <t>首利</t>
  </si>
  <si>
    <t>三洋紡</t>
  </si>
  <si>
    <t>台南</t>
  </si>
  <si>
    <t>弘裕</t>
  </si>
  <si>
    <t>本盟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</si>
  <si>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</si>
  <si>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</si>
  <si>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</si>
  <si>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</si>
  <si>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</si>
  <si>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</si>
  <si>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</si>
  <si>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</si>
  <si>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</si>
  <si>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</si>
  <si>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</si>
  <si>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</si>
  <si>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</si>
  <si>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</si>
  <si>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</si>
  <si>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</si>
  <si>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</si>
  <si>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</si>
  <si>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</si>
  <si>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</si>
  <si>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</si>
  <si>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</si>
  <si>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</si>
  <si>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</si>
  <si>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</si>
  <si>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</si>
  <si>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</si>
  <si>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</si>
  <si>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正峰新</t>
  </si>
  <si>
    <t>巨庭</t>
  </si>
  <si>
    <t>喬福</t>
  </si>
  <si>
    <t>錩泰</t>
  </si>
  <si>
    <t>伸興</t>
  </si>
  <si>
    <t>中砂</t>
  </si>
  <si>
    <t>精華</t>
  </si>
  <si>
    <t>捷邦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</si>
  <si>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</si>
  <si>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</si>
  <si>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</si>
  <si>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</si>
  <si>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</si>
  <si>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</si>
  <si>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</si>
  <si>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</si>
  <si>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F-永冠</t>
  </si>
  <si>
    <t>F-亞德</t>
  </si>
  <si>
    <t>F-駿吉</t>
  </si>
  <si>
    <t>F-英瑞</t>
  </si>
  <si>
    <t>祺驊</t>
  </si>
  <si>
    <t>川寶</t>
  </si>
  <si>
    <t>直得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</si>
  <si>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</si>
  <si>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</si>
  <si>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</si>
  <si>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</si>
  <si>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</si>
  <si>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</si>
  <si>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</si>
  <si>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</si>
  <si>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台一</t>
  </si>
  <si>
    <t>三洋電</t>
  </si>
  <si>
    <t>大山</t>
  </si>
  <si>
    <t>億泰</t>
  </si>
  <si>
    <t>榮星</t>
  </si>
  <si>
    <t>合機</t>
  </si>
  <si>
    <t>F-艾美</t>
  </si>
  <si>
    <t>中化</t>
  </si>
  <si>
    <t>南僑</t>
  </si>
  <si>
    <t>榮化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</si>
  <si>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</si>
  <si>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</si>
  <si>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</si>
  <si>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</si>
  <si>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</si>
  <si>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</si>
  <si>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</si>
  <si>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</si>
  <si>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萬洲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</si>
  <si>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</si>
  <si>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</si>
  <si>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</si>
  <si>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</si>
  <si>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</si>
  <si>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</si>
  <si>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</si>
  <si>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</si>
  <si>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</si>
  <si>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</si>
  <si>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必翔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</si>
  <si>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</si>
  <si>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</si>
  <si>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</si>
  <si>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</si>
  <si>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</si>
  <si>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</si>
  <si>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</si>
  <si>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</si>
  <si>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</si>
  <si>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</si>
  <si>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中化生</t>
  </si>
  <si>
    <t>勝一</t>
  </si>
  <si>
    <t>生泰</t>
  </si>
  <si>
    <t>合世</t>
  </si>
  <si>
    <t>和康生</t>
  </si>
  <si>
    <t>訊聯</t>
  </si>
  <si>
    <t>光洋科</t>
  </si>
  <si>
    <t>科妍</t>
  </si>
  <si>
    <t>福盈科</t>
  </si>
  <si>
    <t>杏昌</t>
  </si>
  <si>
    <t>神隆</t>
  </si>
  <si>
    <t>美時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</si>
  <si>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</si>
  <si>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</si>
  <si>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</si>
  <si>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</si>
  <si>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</si>
  <si>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</si>
  <si>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</si>
  <si>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</si>
  <si>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</si>
  <si>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</si>
  <si>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台紙</t>
  </si>
  <si>
    <t>士紙</t>
  </si>
  <si>
    <t>正隆</t>
  </si>
  <si>
    <t>華紙</t>
  </si>
  <si>
    <t>寶隆</t>
  </si>
  <si>
    <t>永豐餘</t>
  </si>
  <si>
    <t>榮成</t>
  </si>
  <si>
    <t>中鋼</t>
  </si>
  <si>
    <t>東鋼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</si>
  <si>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</si>
  <si>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</si>
  <si>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</si>
  <si>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</si>
  <si>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</si>
  <si>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</si>
  <si>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</si>
  <si>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</si>
  <si>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</si>
  <si>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</si>
  <si>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</si>
  <si>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</si>
  <si>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</si>
  <si>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</si>
  <si>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</si>
  <si>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</si>
  <si>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</si>
  <si>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</si>
  <si>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</si>
  <si>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</si>
  <si>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</si>
  <si>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</si>
  <si>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</si>
  <si>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</si>
  <si>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</si>
  <si>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</si>
  <si>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</si>
  <si>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</si>
  <si>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</si>
  <si>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</si>
  <si>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世德</t>
  </si>
  <si>
    <t>嘉鋼</t>
  </si>
  <si>
    <t>南港</t>
  </si>
  <si>
    <t>泰豐</t>
  </si>
  <si>
    <t>台橡</t>
  </si>
  <si>
    <t>中橡</t>
  </si>
  <si>
    <t>正新</t>
  </si>
  <si>
    <t>建大</t>
  </si>
  <si>
    <t>厚生</t>
  </si>
  <si>
    <t>南帝</t>
  </si>
  <si>
    <t>華豐</t>
  </si>
  <si>
    <t>鑫永銓</t>
  </si>
  <si>
    <t>F-六暉</t>
  </si>
  <si>
    <t>裕隆</t>
  </si>
  <si>
    <t>中華</t>
  </si>
  <si>
    <t>三陽</t>
  </si>
  <si>
    <t>和泰車</t>
  </si>
  <si>
    <t>台船</t>
  </si>
  <si>
    <t>大甲</t>
  </si>
  <si>
    <t>裕日車</t>
  </si>
  <si>
    <t>劍麟</t>
  </si>
  <si>
    <t>泰茂</t>
  </si>
  <si>
    <t>為升</t>
  </si>
  <si>
    <t>宇隆</t>
  </si>
  <si>
    <t>謚源</t>
  </si>
  <si>
    <t>F-百達</t>
  </si>
  <si>
    <t>F-英利</t>
  </si>
  <si>
    <t>光寶科</t>
  </si>
  <si>
    <t>麗正</t>
  </si>
  <si>
    <t>聯電</t>
  </si>
  <si>
    <t>全友</t>
  </si>
  <si>
    <t>台達電</t>
  </si>
  <si>
    <t>日月光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</si>
  <si>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</si>
  <si>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</si>
  <si>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</si>
  <si>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</si>
  <si>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</si>
  <si>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</si>
  <si>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</si>
  <si>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</si>
  <si>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矽品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</si>
  <si>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</si>
  <si>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</si>
  <si>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</si>
  <si>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</si>
  <si>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</si>
  <si>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</si>
  <si>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</si>
  <si>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</si>
  <si>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</si>
  <si>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</si>
  <si>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</si>
  <si>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</si>
  <si>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</si>
  <si>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</si>
  <si>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</si>
  <si>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</si>
  <si>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</si>
  <si>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</si>
  <si>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</si>
  <si>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</si>
  <si>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</si>
  <si>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</si>
  <si>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</si>
  <si>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</si>
  <si>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</si>
  <si>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</si>
  <si>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</si>
  <si>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</si>
  <si>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</si>
  <si>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</si>
  <si>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</si>
  <si>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</si>
  <si>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</si>
  <si>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</si>
  <si>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</si>
  <si>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智寶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</si>
  <si>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</si>
  <si>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</si>
  <si>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</si>
  <si>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</si>
  <si>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</si>
  <si>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</si>
  <si>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</si>
  <si>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</si>
  <si>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</si>
  <si>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</si>
  <si>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</si>
  <si>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</si>
  <si>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</si>
  <si>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</si>
  <si>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</si>
  <si>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</si>
  <si>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</si>
  <si>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</si>
  <si>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</si>
  <si>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</si>
  <si>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</si>
  <si>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</si>
  <si>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</si>
  <si>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</si>
  <si>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</si>
  <si>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</si>
  <si>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</si>
  <si>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</si>
  <si>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</si>
  <si>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</si>
  <si>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</si>
  <si>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</si>
  <si>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</si>
  <si>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</si>
  <si>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</si>
  <si>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</si>
  <si>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</si>
  <si>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</si>
  <si>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</si>
  <si>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</si>
  <si>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</si>
  <si>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</si>
  <si>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旺詮</t>
  </si>
  <si>
    <t>翔耀</t>
  </si>
  <si>
    <t>美律</t>
  </si>
  <si>
    <t>太空梭</t>
  </si>
  <si>
    <t>超豐</t>
  </si>
  <si>
    <t>新美齊</t>
  </si>
  <si>
    <t>新利虹</t>
  </si>
  <si>
    <t>友旺</t>
  </si>
  <si>
    <t>晶電</t>
  </si>
  <si>
    <t>京元電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</si>
  <si>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</si>
  <si>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</si>
  <si>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</si>
  <si>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</si>
  <si>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</si>
  <si>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</si>
  <si>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</si>
  <si>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</si>
  <si>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</si>
  <si>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</si>
  <si>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</si>
  <si>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</si>
  <si>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</si>
  <si>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</si>
  <si>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</si>
  <si>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</si>
  <si>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</si>
  <si>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</si>
  <si>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</si>
  <si>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</si>
  <si>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華映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</si>
  <si>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</si>
  <si>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</si>
  <si>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</si>
  <si>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</si>
  <si>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</si>
  <si>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</si>
  <si>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</si>
  <si>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</si>
  <si>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</si>
  <si>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</si>
  <si>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</si>
  <si>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</si>
  <si>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</si>
  <si>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</si>
  <si>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</si>
  <si>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</si>
  <si>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</si>
  <si>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</si>
  <si>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</si>
  <si>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東貝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</si>
  <si>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</si>
  <si>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</si>
  <si>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</si>
  <si>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</si>
  <si>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</si>
  <si>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</si>
  <si>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</si>
  <si>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</si>
  <si>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</si>
  <si>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</si>
  <si>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</si>
  <si>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</si>
  <si>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</si>
  <si>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</si>
  <si>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</si>
  <si>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</si>
  <si>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</si>
  <si>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</si>
  <si>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</si>
  <si>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</si>
  <si>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</si>
  <si>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</si>
  <si>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</si>
  <si>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</si>
  <si>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</si>
  <si>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</si>
  <si>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</si>
  <si>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</si>
  <si>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</si>
  <si>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</si>
  <si>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</si>
  <si>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</si>
  <si>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</si>
  <si>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</si>
  <si>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</si>
  <si>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</si>
  <si>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</si>
  <si>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</si>
  <si>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</si>
  <si>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</si>
  <si>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</si>
  <si>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</si>
  <si>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</si>
  <si>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</si>
  <si>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</si>
  <si>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漢翔</t>
  </si>
  <si>
    <t>台驊</t>
  </si>
  <si>
    <t>F-慧洋</t>
  </si>
  <si>
    <t>大車隊</t>
  </si>
  <si>
    <t>正德</t>
  </si>
  <si>
    <t>宅配通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</si>
  <si>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</si>
  <si>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</si>
  <si>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</si>
  <si>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</si>
  <si>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</si>
  <si>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</si>
  <si>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</si>
  <si>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</si>
  <si>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</si>
  <si>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</si>
  <si>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F-美食</t>
  </si>
  <si>
    <t>F-富驛</t>
  </si>
  <si>
    <t>F-雅茗</t>
  </si>
  <si>
    <t>王品</t>
  </si>
  <si>
    <t>瓦城</t>
  </si>
  <si>
    <t>雄獅</t>
  </si>
  <si>
    <t>六角</t>
  </si>
  <si>
    <t>易飛網</t>
  </si>
  <si>
    <t>高野</t>
  </si>
  <si>
    <t>天蔥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</si>
  <si>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</si>
  <si>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</si>
  <si>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</si>
  <si>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</si>
  <si>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</si>
  <si>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</si>
  <si>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</si>
  <si>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</si>
  <si>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</si>
  <si>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</si>
  <si>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</si>
  <si>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</si>
  <si>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大眾銀</t>
  </si>
  <si>
    <t>安泰銀</t>
  </si>
  <si>
    <t>新產</t>
  </si>
  <si>
    <t>中再保</t>
  </si>
  <si>
    <t>第一保</t>
  </si>
  <si>
    <t>統一證</t>
  </si>
  <si>
    <t>元富證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</si>
  <si>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</si>
  <si>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</si>
  <si>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</si>
  <si>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</si>
  <si>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</si>
  <si>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</si>
  <si>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</si>
  <si>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</si>
  <si>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</si>
  <si>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</si>
  <si>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</si>
  <si>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</si>
  <si>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</si>
  <si>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</si>
  <si>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</si>
  <si>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</si>
  <si>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</si>
  <si>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</si>
  <si>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</si>
  <si>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</si>
  <si>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</si>
  <si>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</si>
  <si>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</si>
  <si>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</si>
  <si>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</si>
  <si>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</si>
  <si>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F-鼎固</t>
  </si>
  <si>
    <t>F-東凌</t>
  </si>
  <si>
    <t>誠品生</t>
  </si>
  <si>
    <t>F-紅馬</t>
  </si>
  <si>
    <t>F-淘帝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</si>
  <si>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</si>
  <si>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</si>
  <si>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</si>
  <si>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</si>
  <si>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</si>
  <si>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</si>
  <si>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</si>
  <si>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</si>
  <si>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</si>
  <si>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</si>
  <si>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</si>
  <si>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</si>
  <si>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</si>
  <si>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</si>
  <si>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</si>
  <si>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</si>
  <si>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</si>
  <si>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</si>
  <si>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</si>
  <si>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</si>
  <si>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</si>
  <si>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</si>
  <si>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</si>
  <si>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</si>
  <si>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</si>
  <si>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</si>
  <si>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</si>
  <si>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</si>
  <si>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</si>
  <si>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</si>
  <si>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</si>
  <si>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</si>
  <si>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</si>
  <si>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</si>
  <si>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</si>
  <si>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</si>
  <si>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</si>
  <si>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</si>
  <si>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</si>
  <si>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</si>
  <si>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</si>
  <si>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</si>
  <si>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</si>
  <si>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</si>
  <si>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</si>
  <si>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</si>
  <si>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</si>
  <si>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</si>
  <si>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</si>
  <si>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</si>
  <si>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</si>
  <si>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</si>
  <si>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</si>
  <si>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</si>
  <si>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</si>
  <si>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</si>
  <si>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</si>
  <si>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美磊</t>
  </si>
  <si>
    <t>協禧</t>
  </si>
  <si>
    <t>普格</t>
  </si>
  <si>
    <t>僑威</t>
  </si>
  <si>
    <t>聯亞</t>
  </si>
  <si>
    <t>網龍</t>
  </si>
  <si>
    <t>久大</t>
  </si>
  <si>
    <t>華義</t>
  </si>
  <si>
    <t>艾訊</t>
  </si>
  <si>
    <t>遠昇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</si>
  <si>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</si>
  <si>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</si>
  <si>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</si>
  <si>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</si>
  <si>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</si>
  <si>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</si>
  <si>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</si>
  <si>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</si>
  <si>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</si>
  <si>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</si>
  <si>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</si>
  <si>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</si>
  <si>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</si>
  <si>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晶宏</t>
  </si>
  <si>
    <t>新揚科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</si>
  <si>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</si>
  <si>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</si>
  <si>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</si>
  <si>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</si>
  <si>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</si>
  <si>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</si>
  <si>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</si>
  <si>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</si>
  <si>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</si>
  <si>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安茂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</si>
  <si>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</si>
  <si>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</si>
  <si>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</si>
  <si>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</si>
  <si>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</si>
  <si>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</si>
  <si>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</si>
  <si>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</si>
  <si>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</si>
  <si>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</si>
  <si>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</si>
  <si>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</si>
  <si>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</si>
  <si>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</si>
  <si>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</si>
  <si>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</si>
  <si>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</si>
  <si>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</si>
  <si>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</si>
  <si>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</si>
  <si>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</si>
  <si>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</si>
  <si>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</si>
  <si>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</si>
  <si>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</si>
  <si>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</si>
  <si>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</si>
  <si>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</si>
  <si>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</si>
  <si>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</si>
  <si>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</si>
  <si>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</si>
  <si>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</si>
  <si>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</si>
  <si>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</si>
  <si>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</si>
  <si>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</si>
  <si>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</si>
  <si>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</si>
  <si>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遠翔科</t>
  </si>
  <si>
    <t>鈊象</t>
  </si>
  <si>
    <t>英濟</t>
  </si>
  <si>
    <t>勝德</t>
  </si>
  <si>
    <t>杭特</t>
  </si>
  <si>
    <t>帛漢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</si>
  <si>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</si>
  <si>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</si>
  <si>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</si>
  <si>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</si>
  <si>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</si>
  <si>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</si>
  <si>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</si>
  <si>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</si>
  <si>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宣昶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</si>
  <si>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</si>
  <si>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</si>
  <si>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</si>
  <si>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</si>
  <si>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</si>
  <si>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</si>
  <si>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</si>
  <si>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</si>
  <si>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</si>
  <si>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律勝</t>
  </si>
  <si>
    <t>奇偶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</si>
  <si>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</si>
  <si>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</si>
  <si>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</si>
  <si>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</si>
  <si>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</si>
  <si>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</si>
  <si>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</si>
  <si>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</si>
  <si>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</si>
  <si>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</si>
  <si>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</si>
  <si>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</si>
  <si>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</si>
  <si>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</si>
  <si>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</si>
  <si>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</si>
  <si>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</si>
  <si>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光燿科</t>
  </si>
  <si>
    <t>長天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</si>
  <si>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</si>
  <si>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</si>
  <si>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</si>
  <si>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</si>
  <si>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</si>
  <si>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</si>
  <si>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</si>
  <si>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</si>
  <si>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益通</t>
  </si>
  <si>
    <t>晶睿</t>
  </si>
  <si>
    <t>由田</t>
  </si>
  <si>
    <t>祥業</t>
  </si>
  <si>
    <t>致振</t>
  </si>
  <si>
    <t>華亞科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</si>
  <si>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</si>
  <si>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</si>
  <si>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</si>
  <si>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</si>
  <si>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</si>
  <si>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</si>
  <si>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</si>
  <si>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</si>
  <si>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</si>
  <si>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</si>
  <si>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</si>
  <si>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</si>
  <si>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</si>
  <si>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</si>
  <si>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</si>
  <si>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能緹</t>
  </si>
  <si>
    <t>昱晶</t>
  </si>
  <si>
    <t>華擎</t>
  </si>
  <si>
    <t>亞帝歐</t>
  </si>
  <si>
    <t>柏騰</t>
  </si>
  <si>
    <t>綠能</t>
  </si>
  <si>
    <t>振維</t>
  </si>
  <si>
    <t>鴻翊</t>
  </si>
  <si>
    <t>宏森</t>
  </si>
  <si>
    <t>迎輝</t>
  </si>
  <si>
    <t>凡甲</t>
  </si>
  <si>
    <t>聚積</t>
  </si>
  <si>
    <t>安馳</t>
  </si>
  <si>
    <t>力旺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</si>
  <si>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</si>
  <si>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</si>
  <si>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</si>
  <si>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</si>
  <si>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</si>
  <si>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</si>
  <si>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</si>
  <si>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</si>
  <si>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敦泰</t>
  </si>
  <si>
    <t>宇峻</t>
  </si>
  <si>
    <t>兆利</t>
  </si>
  <si>
    <t>聯穎</t>
  </si>
  <si>
    <t>世禾</t>
  </si>
  <si>
    <t>同致</t>
  </si>
  <si>
    <t>力積</t>
  </si>
  <si>
    <t>擎泰</t>
  </si>
  <si>
    <t>禾瑞亞</t>
  </si>
  <si>
    <t>嘉威</t>
  </si>
  <si>
    <t>神準</t>
  </si>
  <si>
    <t>全智科</t>
  </si>
  <si>
    <t>昇陽科</t>
  </si>
  <si>
    <t>頂晶科</t>
  </si>
  <si>
    <t>牧德</t>
  </si>
  <si>
    <t>其陽</t>
  </si>
  <si>
    <t>逸昌</t>
  </si>
  <si>
    <t>大塚</t>
  </si>
  <si>
    <t>穎台</t>
  </si>
  <si>
    <t>新日光</t>
  </si>
  <si>
    <t>泓格</t>
  </si>
  <si>
    <t>尚志</t>
  </si>
  <si>
    <t>友威科</t>
  </si>
  <si>
    <t>博磊</t>
  </si>
  <si>
    <t>辛耘</t>
  </si>
  <si>
    <t>介面</t>
  </si>
  <si>
    <t>閎康</t>
  </si>
  <si>
    <t>通嘉</t>
  </si>
  <si>
    <t>艾笛森</t>
  </si>
  <si>
    <t>力銘</t>
  </si>
  <si>
    <t>磐儀</t>
  </si>
  <si>
    <t>智易</t>
  </si>
  <si>
    <t>奕力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</si>
  <si>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</si>
  <si>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</si>
  <si>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</si>
  <si>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</si>
  <si>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</si>
  <si>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</si>
  <si>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</si>
  <si>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</si>
  <si>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</si>
  <si>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</si>
  <si>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</si>
  <si>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卓韋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</si>
  <si>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</si>
  <si>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</si>
  <si>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</si>
  <si>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</si>
  <si>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</si>
  <si>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</si>
  <si>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</si>
  <si>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</si>
  <si>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漢微科</t>
  </si>
  <si>
    <t>F-世芯</t>
  </si>
  <si>
    <t>樂陞</t>
  </si>
  <si>
    <t>鑫科</t>
  </si>
  <si>
    <t>F-安瑞</t>
  </si>
  <si>
    <t>F-貿聯</t>
  </si>
  <si>
    <t>光耀</t>
  </si>
  <si>
    <t>圓展</t>
  </si>
  <si>
    <t>康聯訊</t>
  </si>
  <si>
    <t>F-TPK</t>
  </si>
  <si>
    <t>德微</t>
  </si>
  <si>
    <t>新至陞</t>
  </si>
  <si>
    <t>家登</t>
  </si>
  <si>
    <t>亞太電</t>
  </si>
  <si>
    <t>榮昌</t>
  </si>
  <si>
    <t>政翔</t>
  </si>
  <si>
    <t>達能</t>
  </si>
  <si>
    <t>歐買尬</t>
  </si>
  <si>
    <t>湧德</t>
  </si>
  <si>
    <t>碩禾</t>
  </si>
  <si>
    <t>營邦</t>
  </si>
  <si>
    <t>海華</t>
  </si>
  <si>
    <t>隆達</t>
  </si>
  <si>
    <t>大眾控</t>
  </si>
  <si>
    <t>大聯大</t>
  </si>
  <si>
    <t>欣陸</t>
  </si>
  <si>
    <t>合勤控</t>
  </si>
  <si>
    <t>永信</t>
  </si>
  <si>
    <t>神達</t>
  </si>
  <si>
    <t>漢磊</t>
  </si>
  <si>
    <t>永日</t>
  </si>
  <si>
    <t>百略</t>
  </si>
  <si>
    <t>佳醫</t>
  </si>
  <si>
    <t>東洋</t>
  </si>
  <si>
    <t>雃博</t>
  </si>
  <si>
    <t>邦特</t>
  </si>
  <si>
    <t>懷特</t>
  </si>
  <si>
    <t>穆拉德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</si>
  <si>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</si>
  <si>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</si>
  <si>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</si>
  <si>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</si>
  <si>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</si>
  <si>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</si>
  <si>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</si>
  <si>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</si>
  <si>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</si>
  <si>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</si>
  <si>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</si>
  <si>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</si>
  <si>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</si>
  <si>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</si>
  <si>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</si>
  <si>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F-麗豐</t>
  </si>
  <si>
    <t>曜亞</t>
  </si>
  <si>
    <t>F-馬光</t>
  </si>
  <si>
    <t>F-龍燈</t>
  </si>
  <si>
    <t>國光生</t>
  </si>
  <si>
    <t>F-康聯</t>
  </si>
  <si>
    <t>中裕</t>
  </si>
  <si>
    <t>台微體</t>
  </si>
  <si>
    <t>鈺緯</t>
  </si>
  <si>
    <t>F-康樂</t>
  </si>
  <si>
    <t>F*太景</t>
  </si>
  <si>
    <t>創源</t>
  </si>
  <si>
    <t>聿新科</t>
  </si>
  <si>
    <t>智擎</t>
  </si>
  <si>
    <t>鐿鈦</t>
  </si>
  <si>
    <t>承業醫</t>
  </si>
  <si>
    <t>展旺</t>
  </si>
  <si>
    <t>醣聯</t>
  </si>
  <si>
    <t>瑞基</t>
  </si>
  <si>
    <t>久裕</t>
  </si>
  <si>
    <t>浩鼎</t>
  </si>
  <si>
    <t>杏一</t>
  </si>
  <si>
    <t>安成藥</t>
  </si>
  <si>
    <t>F-佐登</t>
  </si>
  <si>
    <t>杏國</t>
  </si>
  <si>
    <t>環瑞醫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</si>
  <si>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</si>
  <si>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</si>
  <si>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</si>
  <si>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</si>
  <si>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</si>
  <si>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</si>
  <si>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</si>
  <si>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</si>
  <si>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</si>
  <si>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</t>
  </si>
  <si>
    <t>如興</t>
  </si>
  <si>
    <t>台原藥</t>
  </si>
  <si>
    <t>三圓</t>
  </si>
  <si>
    <t>金洲</t>
  </si>
  <si>
    <t>松懋</t>
  </si>
  <si>
    <t>光明</t>
  </si>
  <si>
    <t>利勤</t>
  </si>
  <si>
    <t>聚紡</t>
  </si>
  <si>
    <t>耀億</t>
  </si>
  <si>
    <t>銘旺實</t>
  </si>
  <si>
    <t>興采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</si>
  <si>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</si>
  <si>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</si>
  <si>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</si>
  <si>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</si>
  <si>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</si>
  <si>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</si>
  <si>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</si>
  <si>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</si>
  <si>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</si>
  <si>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昶洧</t>
  </si>
  <si>
    <t>宏易</t>
  </si>
  <si>
    <t>瑞智</t>
  </si>
  <si>
    <t>協易機</t>
  </si>
  <si>
    <t>慶騰</t>
  </si>
  <si>
    <t>至興</t>
  </si>
  <si>
    <t>拓凱</t>
  </si>
  <si>
    <t>晟田</t>
  </si>
  <si>
    <t>科嶠</t>
  </si>
  <si>
    <t>銘鈺</t>
  </si>
  <si>
    <t>桓達</t>
  </si>
  <si>
    <t>長佳</t>
  </si>
  <si>
    <t>智伸科</t>
  </si>
  <si>
    <t>氣立</t>
  </si>
  <si>
    <t>旭然</t>
  </si>
  <si>
    <t>F-永新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</si>
  <si>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</si>
  <si>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</si>
  <si>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</si>
  <si>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</si>
  <si>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</si>
  <si>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</si>
  <si>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</si>
  <si>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</si>
  <si>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</si>
  <si>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</si>
  <si>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</si>
  <si>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信昌化</t>
  </si>
  <si>
    <t>永昕</t>
  </si>
  <si>
    <t>雙美</t>
  </si>
  <si>
    <t>熒茂</t>
  </si>
  <si>
    <t>上緯</t>
  </si>
  <si>
    <t>豪展</t>
  </si>
  <si>
    <t>泰博</t>
  </si>
  <si>
    <t>華廣</t>
  </si>
  <si>
    <t>康普</t>
  </si>
  <si>
    <t>合一</t>
  </si>
  <si>
    <t>F-合富</t>
  </si>
  <si>
    <t>台耀</t>
  </si>
  <si>
    <t>強生</t>
  </si>
  <si>
    <t>三福化</t>
  </si>
  <si>
    <t>F-三汰</t>
  </si>
  <si>
    <t>F-材料</t>
  </si>
  <si>
    <t>F-VHQ</t>
  </si>
  <si>
    <t>F-大略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</si>
  <si>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</si>
  <si>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</si>
  <si>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</si>
  <si>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</si>
  <si>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</si>
  <si>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</si>
  <si>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</si>
  <si>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</si>
  <si>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F-聯德</t>
  </si>
  <si>
    <t>致伸</t>
  </si>
  <si>
    <t>事欣科</t>
  </si>
  <si>
    <t>新唐</t>
  </si>
  <si>
    <t>F-欣厚</t>
  </si>
  <si>
    <t>F-泰鼎</t>
  </si>
  <si>
    <t>燦星網</t>
  </si>
  <si>
    <t>友輝</t>
  </si>
  <si>
    <t>太極</t>
  </si>
  <si>
    <t>F-茂林</t>
  </si>
  <si>
    <t>和碩</t>
  </si>
  <si>
    <t>亞電</t>
  </si>
  <si>
    <t>嘉彰</t>
  </si>
  <si>
    <t>兆遠</t>
  </si>
  <si>
    <t>辣椒</t>
  </si>
  <si>
    <t>F-昂寶</t>
  </si>
  <si>
    <t>牧東</t>
  </si>
  <si>
    <t>凌通</t>
  </si>
  <si>
    <t>緯軟</t>
  </si>
  <si>
    <t>光鋐</t>
  </si>
  <si>
    <t>F-臻鼎</t>
  </si>
  <si>
    <t>奇美材</t>
  </si>
  <si>
    <t>商店街</t>
  </si>
  <si>
    <t>F-譜瑞</t>
  </si>
  <si>
    <t>立積</t>
  </si>
  <si>
    <t>F-IET</t>
  </si>
  <si>
    <t>湯石</t>
  </si>
  <si>
    <t>廣穎</t>
  </si>
  <si>
    <t>亞泰</t>
  </si>
  <si>
    <t>佳凌</t>
  </si>
  <si>
    <t>F-眾達</t>
  </si>
  <si>
    <t>華星光</t>
  </si>
  <si>
    <t>F-科納</t>
  </si>
  <si>
    <t>科誠</t>
  </si>
  <si>
    <t>F-環宇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</si>
  <si>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</si>
  <si>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</si>
  <si>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</si>
  <si>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</si>
  <si>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</si>
  <si>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</si>
  <si>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</si>
  <si>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</si>
  <si>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</si>
  <si>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</si>
  <si>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</si>
  <si>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</si>
  <si>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</si>
  <si>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</si>
  <si>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漢康</t>
  </si>
  <si>
    <t>坤悅</t>
  </si>
  <si>
    <t>新鼎</t>
  </si>
  <si>
    <t>寶碩</t>
  </si>
  <si>
    <t>蒙恬</t>
  </si>
  <si>
    <t>凌網</t>
  </si>
  <si>
    <t>亞昕</t>
  </si>
  <si>
    <t>F-科嘉</t>
  </si>
  <si>
    <t>F-東科</t>
  </si>
  <si>
    <t>F-立凱</t>
  </si>
  <si>
    <t>雷笛克</t>
  </si>
  <si>
    <t>達興</t>
  </si>
  <si>
    <t>F-乙盛</t>
  </si>
  <si>
    <t>智晶</t>
  </si>
  <si>
    <t>天鉞電</t>
  </si>
  <si>
    <t>美桀</t>
  </si>
  <si>
    <t>清惠</t>
  </si>
  <si>
    <t>智崴</t>
  </si>
  <si>
    <t>F-鎧勝</t>
  </si>
  <si>
    <t>F*AS</t>
  </si>
  <si>
    <t>祥碩</t>
  </si>
  <si>
    <t>笙科</t>
  </si>
  <si>
    <t>信驊</t>
  </si>
  <si>
    <t>F-達輝</t>
  </si>
  <si>
    <t>尚凡</t>
  </si>
  <si>
    <t>F-jpp</t>
  </si>
  <si>
    <t>界霖</t>
  </si>
  <si>
    <t>數字</t>
  </si>
  <si>
    <t>F-豐祥</t>
  </si>
  <si>
    <t>宜鼎</t>
  </si>
  <si>
    <t>邑昇</t>
  </si>
  <si>
    <t>寶得利</t>
  </si>
  <si>
    <t>太欣</t>
  </si>
  <si>
    <t>鼎創達</t>
  </si>
  <si>
    <t>敦南</t>
  </si>
  <si>
    <t>桂盟</t>
  </si>
  <si>
    <t>系統電</t>
  </si>
  <si>
    <t>天剛</t>
  </si>
  <si>
    <t>寶島科</t>
  </si>
  <si>
    <t>世紀</t>
  </si>
  <si>
    <t>光聯</t>
  </si>
  <si>
    <t>凱美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</si>
  <si>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</si>
  <si>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</si>
  <si>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</si>
  <si>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</si>
  <si>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</si>
  <si>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</si>
  <si>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</si>
  <si>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</si>
  <si>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先豐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</si>
  <si>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</si>
  <si>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</si>
  <si>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</si>
  <si>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</si>
  <si>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</si>
  <si>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</si>
  <si>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</si>
  <si>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</si>
  <si>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捷元</t>
  </si>
  <si>
    <t>青雲</t>
  </si>
  <si>
    <t>中磊</t>
  </si>
  <si>
    <t>應華</t>
  </si>
  <si>
    <t>圓方</t>
  </si>
  <si>
    <t>力瑋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</si>
  <si>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</si>
  <si>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</si>
  <si>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</si>
  <si>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</si>
  <si>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</si>
  <si>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</si>
  <si>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</si>
  <si>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</si>
  <si>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</si>
  <si>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寶聯通</t>
  </si>
  <si>
    <t>佶優</t>
  </si>
  <si>
    <t>訊利電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</si>
  <si>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</si>
  <si>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</si>
  <si>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</si>
  <si>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</si>
  <si>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</si>
  <si>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</si>
  <si>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</si>
  <si>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</si>
  <si>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</si>
  <si>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</si>
  <si>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統盟</t>
  </si>
  <si>
    <t>華韡</t>
  </si>
  <si>
    <t>中美晶</t>
  </si>
  <si>
    <t>慧友</t>
  </si>
  <si>
    <t>通泰</t>
  </si>
  <si>
    <t>松普</t>
  </si>
  <si>
    <t>彩富</t>
  </si>
  <si>
    <t>同亨</t>
  </si>
  <si>
    <t>連展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</si>
  <si>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</si>
  <si>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</si>
  <si>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</si>
  <si>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</si>
  <si>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</si>
  <si>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</si>
  <si>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</si>
  <si>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</si>
  <si>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</si>
  <si>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</si>
  <si>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</si>
  <si>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</si>
  <si>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</si>
  <si>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</si>
  <si>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</si>
  <si>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</si>
  <si>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</si>
  <si>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</si>
  <si>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</si>
  <si>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</si>
  <si>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F-東明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</si>
  <si>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</si>
  <si>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</si>
  <si>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</si>
  <si>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</si>
  <si>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</si>
  <si>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</si>
  <si>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</si>
  <si>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</si>
  <si>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</si>
  <si>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</si>
  <si>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</si>
  <si>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F-中租</t>
  </si>
  <si>
    <t>台名</t>
  </si>
  <si>
    <t>合庫金</t>
  </si>
  <si>
    <t>德記</t>
  </si>
  <si>
    <t>全家</t>
  </si>
  <si>
    <t>寶雅</t>
  </si>
  <si>
    <t>南仁湖</t>
  </si>
  <si>
    <t>F-台南</t>
  </si>
  <si>
    <t>F-大洋</t>
  </si>
  <si>
    <t>群益證</t>
  </si>
  <si>
    <t>宏遠證</t>
  </si>
  <si>
    <t>康和證</t>
  </si>
  <si>
    <t>大展證</t>
  </si>
  <si>
    <t>大慶證</t>
  </si>
  <si>
    <t>大眾證</t>
  </si>
  <si>
    <t>元大期</t>
  </si>
  <si>
    <t>群益期</t>
  </si>
  <si>
    <t>福邦證</t>
  </si>
  <si>
    <t>弘捷</t>
  </si>
  <si>
    <t>合邦</t>
  </si>
  <si>
    <t>創惟</t>
  </si>
  <si>
    <t>瑞傳</t>
  </si>
  <si>
    <t>華美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</si>
  <si>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</si>
  <si>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</si>
  <si>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</si>
  <si>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</si>
  <si>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</si>
  <si>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</si>
  <si>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</si>
  <si>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</si>
  <si>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</si>
  <si>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</si>
  <si>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</si>
  <si>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</si>
  <si>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</si>
  <si>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</si>
  <si>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</si>
  <si>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</si>
  <si>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</si>
  <si>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</si>
  <si>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</si>
  <si>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</si>
  <si>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基因</t>
  </si>
  <si>
    <t>悠克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</si>
  <si>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</si>
  <si>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</si>
  <si>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</si>
  <si>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</si>
  <si>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</si>
  <si>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</si>
  <si>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</si>
  <si>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</si>
  <si>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</si>
  <si>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</si>
  <si>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勁永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</si>
  <si>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</si>
  <si>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</si>
  <si>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</si>
  <si>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</si>
  <si>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</si>
  <si>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</si>
  <si>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</si>
  <si>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</si>
  <si>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</si>
  <si>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</si>
  <si>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</si>
  <si>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</si>
  <si>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</si>
  <si>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</si>
  <si>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</si>
  <si>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捷泰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</si>
  <si>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</si>
  <si>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</si>
  <si>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</si>
  <si>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</si>
  <si>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</si>
  <si>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</si>
  <si>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</si>
  <si>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</si>
  <si>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</si>
  <si>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</si>
  <si>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</si>
  <si>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</si>
  <si>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</si>
  <si>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</si>
  <si>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</si>
  <si>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</si>
  <si>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</si>
  <si>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</si>
  <si>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</si>
  <si>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</si>
  <si>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</si>
  <si>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</si>
  <si>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</si>
  <si>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</si>
  <si>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</si>
  <si>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</si>
  <si>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</si>
  <si>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</si>
  <si>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</si>
  <si>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</si>
  <si>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</si>
  <si>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</si>
  <si>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</si>
  <si>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</si>
  <si>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</si>
  <si>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</si>
  <si>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</si>
  <si>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</si>
  <si>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</si>
  <si>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</si>
  <si>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</si>
  <si>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</si>
  <si>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</si>
  <si>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</si>
  <si>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</si>
  <si>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</si>
  <si>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</si>
  <si>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</si>
  <si>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</si>
  <si>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</si>
  <si>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</si>
  <si>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</si>
  <si>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</si>
  <si>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</si>
  <si>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</si>
  <si>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</si>
  <si>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</si>
  <si>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</si>
  <si>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</si>
  <si>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超眾</t>
  </si>
  <si>
    <t>系微</t>
  </si>
  <si>
    <t>旺玖</t>
  </si>
  <si>
    <t>高僑</t>
  </si>
  <si>
    <t>華孚</t>
  </si>
  <si>
    <t>康呈</t>
  </si>
  <si>
    <t>驊訊</t>
  </si>
  <si>
    <t>勝麗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</si>
  <si>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</si>
  <si>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</si>
  <si>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</si>
  <si>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</si>
  <si>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</si>
  <si>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</si>
  <si>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</si>
  <si>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</si>
  <si>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</si>
  <si>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</si>
  <si>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宇加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</si>
  <si>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</si>
  <si>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</si>
  <si>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</si>
  <si>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</si>
  <si>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</si>
  <si>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</si>
  <si>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</si>
  <si>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</si>
  <si>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</si>
  <si>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</si>
  <si>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</si>
  <si>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</si>
  <si>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</si>
  <si>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</si>
  <si>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</si>
  <si>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</si>
  <si>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</si>
  <si>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</si>
  <si>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</si>
  <si>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</si>
  <si>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</si>
  <si>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</si>
  <si>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立錡</t>
  </si>
  <si>
    <t>元隆</t>
  </si>
  <si>
    <t>華上</t>
  </si>
  <si>
    <t>良維</t>
  </si>
  <si>
    <t>沛亨</t>
  </si>
  <si>
    <t>迅德</t>
  </si>
  <si>
    <t>智基</t>
  </si>
  <si>
    <t>崴強</t>
  </si>
  <si>
    <t>F-通訊</t>
  </si>
  <si>
    <t>悅城</t>
  </si>
  <si>
    <t>旭隼</t>
  </si>
  <si>
    <t>晶焱</t>
  </si>
  <si>
    <t>群電</t>
  </si>
  <si>
    <t>樺漢</t>
  </si>
  <si>
    <t>F-矽力</t>
  </si>
  <si>
    <t>韋僑</t>
  </si>
  <si>
    <t>京晨科</t>
  </si>
  <si>
    <t>F-君耀</t>
  </si>
  <si>
    <t>統新</t>
  </si>
  <si>
    <t>F-光麗</t>
  </si>
  <si>
    <t>大中</t>
  </si>
  <si>
    <t>光聖</t>
  </si>
  <si>
    <t>元晶</t>
  </si>
  <si>
    <t>鈺邦</t>
  </si>
  <si>
    <t>F-訊芯</t>
  </si>
  <si>
    <t>F-康友</t>
  </si>
  <si>
    <t>F-GIS</t>
  </si>
  <si>
    <t>紘康</t>
  </si>
  <si>
    <t>神盾</t>
  </si>
  <si>
    <t>台數科</t>
  </si>
  <si>
    <t>威潤</t>
  </si>
  <si>
    <t>宇智</t>
  </si>
  <si>
    <t>點序</t>
  </si>
  <si>
    <t>環球晶</t>
  </si>
  <si>
    <t>科懋</t>
  </si>
  <si>
    <t>南六</t>
  </si>
  <si>
    <t>台塑化</t>
  </si>
  <si>
    <t>雙邦</t>
  </si>
  <si>
    <t>惠光</t>
  </si>
  <si>
    <t>聚和</t>
  </si>
  <si>
    <t>F-芮特</t>
  </si>
  <si>
    <t>富強鑫</t>
  </si>
  <si>
    <t>帝寶</t>
  </si>
  <si>
    <t>瀧澤科</t>
  </si>
  <si>
    <t>興航</t>
  </si>
  <si>
    <t>崑鼎</t>
  </si>
  <si>
    <t>邑錡</t>
  </si>
  <si>
    <t>台通</t>
  </si>
  <si>
    <t>矽創</t>
  </si>
  <si>
    <t>尖點</t>
  </si>
  <si>
    <t>佑華</t>
  </si>
  <si>
    <t>鈦昇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</si>
  <si>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</si>
  <si>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</si>
  <si>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</si>
  <si>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</si>
  <si>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</si>
  <si>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</si>
  <si>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</si>
  <si>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</si>
  <si>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</si>
  <si>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</si>
  <si>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</si>
  <si>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</si>
  <si>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</si>
  <si>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</si>
  <si>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巨擘</t>
  </si>
  <si>
    <t>安國</t>
  </si>
  <si>
    <t>凱碩</t>
  </si>
  <si>
    <t>東捷</t>
  </si>
  <si>
    <t>來思達</t>
  </si>
  <si>
    <t>志旭</t>
  </si>
  <si>
    <t>全達</t>
  </si>
  <si>
    <t>元太</t>
  </si>
  <si>
    <t>長華</t>
  </si>
  <si>
    <t>能率豐</t>
  </si>
  <si>
    <t>陞泰</t>
  </si>
  <si>
    <t>鉅橡</t>
  </si>
  <si>
    <t>伍豐</t>
  </si>
  <si>
    <t>洛碁</t>
  </si>
  <si>
    <t>誠遠</t>
  </si>
  <si>
    <t>奧斯特</t>
  </si>
  <si>
    <t>致新</t>
  </si>
  <si>
    <t>漢承泰</t>
  </si>
  <si>
    <t>瑞穎</t>
  </si>
  <si>
    <t>巨虹</t>
  </si>
  <si>
    <t>福華</t>
  </si>
  <si>
    <t>宏捷科</t>
  </si>
  <si>
    <t>華鎂鑫</t>
  </si>
  <si>
    <t>品安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</si>
  <si>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</si>
  <si>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</si>
  <si>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</si>
  <si>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</si>
  <si>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</si>
  <si>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</si>
  <si>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</si>
  <si>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</si>
  <si>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凌巨</t>
  </si>
  <si>
    <t>大億科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</si>
  <si>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</si>
  <si>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</si>
  <si>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</si>
  <si>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</si>
  <si>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</si>
  <si>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</si>
  <si>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</si>
  <si>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</si>
  <si>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</si>
  <si>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</si>
  <si>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</si>
  <si>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</si>
  <si>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</si>
  <si>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</si>
  <si>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</si>
  <si>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</si>
  <si>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</si>
  <si>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</si>
  <si>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</si>
  <si>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</si>
  <si>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</si>
  <si>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</si>
  <si>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</si>
  <si>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</si>
  <si>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</si>
  <si>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中日新</t>
  </si>
  <si>
    <t>宇瞻</t>
  </si>
  <si>
    <t>商丞</t>
  </si>
  <si>
    <t>英格爾</t>
  </si>
  <si>
    <t>泰藝</t>
  </si>
  <si>
    <t>尚茂</t>
  </si>
  <si>
    <t>群聯</t>
  </si>
  <si>
    <t>日友</t>
  </si>
  <si>
    <t>恒耀</t>
  </si>
  <si>
    <t>冠好</t>
  </si>
  <si>
    <t>金居</t>
  </si>
  <si>
    <t>羅昇</t>
  </si>
  <si>
    <t>千附</t>
  </si>
  <si>
    <t>金益鼎</t>
  </si>
  <si>
    <t>白紗科</t>
  </si>
  <si>
    <t>盛弘</t>
  </si>
  <si>
    <t>F-百和</t>
  </si>
  <si>
    <t>F-金可</t>
  </si>
  <si>
    <t>商之器</t>
  </si>
  <si>
    <t>森田</t>
  </si>
  <si>
    <t>F-福貞</t>
  </si>
  <si>
    <t>實威</t>
  </si>
  <si>
    <t>F-必勝</t>
  </si>
  <si>
    <t>明揚</t>
  </si>
  <si>
    <t>旭源</t>
  </si>
  <si>
    <t>可寧衛</t>
  </si>
  <si>
    <t>F-保綠</t>
  </si>
  <si>
    <t>惠普</t>
  </si>
  <si>
    <t>F-紅木</t>
  </si>
  <si>
    <t>F-基勝</t>
  </si>
  <si>
    <t>F-金麗</t>
  </si>
  <si>
    <t>匯鑽科</t>
  </si>
  <si>
    <t>東生華</t>
  </si>
  <si>
    <t>弘帆</t>
  </si>
  <si>
    <t>鉅邁</t>
  </si>
  <si>
    <t>大江</t>
  </si>
  <si>
    <t>F-大地</t>
  </si>
  <si>
    <t>阿瘦</t>
  </si>
  <si>
    <t>F-綠河</t>
  </si>
  <si>
    <t>華研</t>
  </si>
  <si>
    <t>霹靂</t>
  </si>
  <si>
    <t>富邦媒</t>
  </si>
  <si>
    <t>F-大拓</t>
  </si>
  <si>
    <t>潤泰材</t>
  </si>
  <si>
    <t>億豐</t>
  </si>
  <si>
    <t>F-波力</t>
  </si>
  <si>
    <t>夠麻吉</t>
  </si>
  <si>
    <t>裕國</t>
  </si>
  <si>
    <t>花王</t>
  </si>
  <si>
    <t>欣雄</t>
  </si>
  <si>
    <t>全銓</t>
  </si>
  <si>
    <t>光隆</t>
  </si>
  <si>
    <t>欣泰</t>
  </si>
  <si>
    <t>沈氏</t>
  </si>
  <si>
    <t>時報</t>
  </si>
  <si>
    <t>大田</t>
  </si>
  <si>
    <t>偉盟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</si>
  <si>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</si>
  <si>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</si>
  <si>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</si>
  <si>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</si>
  <si>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</si>
  <si>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</si>
  <si>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</si>
  <si>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</si>
  <si>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衡平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</si>
  <si>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</si>
  <si>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</si>
  <si>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</si>
  <si>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</si>
  <si>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</si>
  <si>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</si>
  <si>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</si>
  <si>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</si>
  <si>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</t>
  </si>
  <si>
    <t>康師傅</t>
  </si>
  <si>
    <t>聖馬丁</t>
  </si>
  <si>
    <t>泰金寶</t>
  </si>
  <si>
    <t>新焦點</t>
  </si>
  <si>
    <t>恒大健</t>
  </si>
  <si>
    <t>金衛</t>
  </si>
  <si>
    <t>神州</t>
  </si>
  <si>
    <t>越南控</t>
  </si>
  <si>
    <t>明輝</t>
  </si>
  <si>
    <t>中泰山</t>
  </si>
  <si>
    <t>特藝</t>
  </si>
  <si>
    <t>杜康</t>
  </si>
  <si>
    <t>耀傑</t>
  </si>
  <si>
    <t>泰聚亨</t>
  </si>
  <si>
    <t>MSH</t>
  </si>
  <si>
    <t>同方友</t>
  </si>
  <si>
    <t>晨訊科</t>
  </si>
  <si>
    <t>友佳</t>
  </si>
  <si>
    <t>巨騰</t>
  </si>
  <si>
    <t>陽光能</t>
  </si>
  <si>
    <t>精熙</t>
  </si>
  <si>
    <t>F-鈺齊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</si>
  <si>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</si>
  <si>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</si>
  <si>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</si>
  <si>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</si>
  <si>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</si>
  <si>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</si>
  <si>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</si>
  <si>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</si>
  <si>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</si>
  <si>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</si>
  <si>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</si>
  <si>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</si>
  <si>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</si>
  <si>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</si>
  <si>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</si>
  <si>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</si>
  <si>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</si>
  <si>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</si>
  <si>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</si>
  <si>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</si>
  <si>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</si>
  <si>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</si>
  <si>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</si>
  <si>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</si>
  <si>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</si>
  <si>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</si>
  <si>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</si>
  <si>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</si>
  <si>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</si>
  <si>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</si>
  <si>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</si>
  <si>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</si>
  <si>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</si>
  <si>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</si>
  <si>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</t>
  </si>
  <si>
    <t>琉園</t>
  </si>
  <si>
    <t>萬國通</t>
  </si>
  <si>
    <t>皇田</t>
  </si>
  <si>
    <t>佳龍</t>
  </si>
  <si>
    <t>世紀鋼</t>
  </si>
  <si>
    <t>邁達康</t>
  </si>
  <si>
    <t>有益</t>
  </si>
  <si>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</si>
  <si>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</si>
  <si>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</si>
  <si>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</si>
  <si>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</si>
  <si>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</si>
  <si>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</si>
  <si>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</si>
  <si>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</si>
  <si>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</si>
  <si>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</si>
  <si>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</si>
  <si>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</si>
  <si>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</si>
  <si>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</si>
  <si>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</si>
  <si>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</si>
  <si>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</si>
  <si>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</si>
  <si>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</si>
  <si>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</si>
  <si>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</si>
  <si>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</si>
  <si>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</si>
  <si>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</si>
  <si>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</si>
  <si>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1256</t>
  </si>
  <si>
    <t>1258</t>
  </si>
  <si>
    <t>1259</t>
  </si>
  <si>
    <t>1262</t>
  </si>
  <si>
    <t>1264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</si>
  <si>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</si>
  <si>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</si>
  <si>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</si>
  <si>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</si>
  <si>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</si>
  <si>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</si>
  <si>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</si>
  <si>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</si>
  <si>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</si>
  <si>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</si>
  <si>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</si>
  <si>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</si>
  <si>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</si>
  <si>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</si>
  <si>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</si>
  <si>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</si>
  <si>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</si>
  <si>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</si>
  <si>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</si>
  <si>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1333</t>
  </si>
  <si>
    <t>1336</t>
  </si>
  <si>
    <t>1337</t>
  </si>
  <si>
    <t>1338</t>
  </si>
  <si>
    <t>1339</t>
  </si>
  <si>
    <t>1340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</si>
  <si>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</si>
  <si>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</si>
  <si>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</si>
  <si>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</si>
  <si>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</si>
  <si>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</si>
  <si>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</si>
  <si>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</si>
  <si>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</si>
  <si>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</si>
  <si>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</si>
  <si>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</si>
  <si>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</si>
  <si>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</si>
  <si>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</si>
  <si>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</si>
  <si>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</si>
  <si>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</si>
  <si>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</si>
  <si>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</si>
  <si>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</si>
  <si>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</si>
  <si>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</si>
  <si>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</si>
  <si>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</si>
  <si>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</si>
  <si>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</si>
  <si>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</si>
  <si>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</si>
  <si>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</si>
  <si>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</si>
  <si>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</si>
  <si>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</si>
  <si>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</si>
  <si>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</si>
  <si>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</si>
  <si>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</si>
  <si>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</si>
  <si>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</si>
  <si>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</si>
  <si>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</si>
  <si>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</si>
  <si>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</si>
  <si>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</si>
  <si>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</si>
  <si>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</si>
  <si>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</si>
  <si>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</si>
  <si>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</si>
  <si>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</si>
  <si>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</si>
  <si>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</si>
  <si>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</si>
  <si>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</si>
  <si>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</si>
  <si>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</si>
  <si>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</si>
  <si>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</si>
  <si>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</si>
  <si>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</si>
  <si>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</si>
  <si>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</si>
  <si>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</si>
  <si>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</si>
  <si>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</si>
  <si>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</si>
  <si>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</si>
  <si>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</si>
  <si>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</si>
  <si>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</si>
  <si>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</si>
  <si>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</si>
  <si>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</si>
  <si>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</si>
  <si>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</si>
  <si>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</si>
  <si>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</si>
  <si>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</si>
  <si>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</si>
  <si>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</si>
  <si>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</si>
  <si>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</si>
  <si>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</si>
  <si>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1566</t>
  </si>
  <si>
    <t>1568</t>
  </si>
  <si>
    <t>1569</t>
  </si>
  <si>
    <t>1570</t>
  </si>
  <si>
    <t>1580</t>
  </si>
  <si>
    <t>1582</t>
  </si>
  <si>
    <t>1583</t>
  </si>
  <si>
    <t>1584</t>
  </si>
  <si>
    <t>1586</t>
  </si>
  <si>
    <t>1589</t>
  </si>
  <si>
    <t>1590</t>
  </si>
  <si>
    <t>1591</t>
  </si>
  <si>
    <t>1592</t>
  </si>
  <si>
    <t>1593</t>
  </si>
  <si>
    <t>1595</t>
  </si>
  <si>
    <t>1597</t>
  </si>
  <si>
    <t>1599</t>
  </si>
  <si>
    <t>1603</t>
  </si>
  <si>
    <t>1604</t>
  </si>
  <si>
    <t>1605</t>
  </si>
  <si>
    <t>1608</t>
  </si>
  <si>
    <t>1609</t>
  </si>
  <si>
    <t>1611</t>
  </si>
  <si>
    <t>1612</t>
  </si>
  <si>
    <t>1613</t>
  </si>
  <si>
    <t>1614</t>
  </si>
  <si>
    <t>1615</t>
  </si>
  <si>
    <t>1616</t>
  </si>
  <si>
    <t>1617</t>
  </si>
  <si>
    <t>1618</t>
  </si>
  <si>
    <t>1626</t>
  </si>
  <si>
    <t>1701</t>
  </si>
  <si>
    <t>1702</t>
  </si>
  <si>
    <t>1704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</si>
  <si>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</si>
  <si>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</si>
  <si>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</si>
  <si>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</si>
  <si>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</si>
  <si>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</si>
  <si>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</si>
  <si>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</si>
  <si>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</si>
  <si>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</si>
  <si>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</si>
  <si>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</si>
  <si>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</si>
  <si>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</si>
  <si>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</si>
  <si>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</si>
  <si>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</si>
  <si>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</si>
  <si>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</si>
  <si>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</si>
  <si>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</si>
  <si>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</si>
  <si>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</si>
  <si>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</si>
  <si>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</si>
  <si>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</si>
  <si>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</si>
  <si>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</si>
  <si>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</si>
  <si>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</si>
  <si>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1762</t>
  </si>
  <si>
    <t>1773</t>
  </si>
  <si>
    <t>1777</t>
  </si>
  <si>
    <t>1781</t>
  </si>
  <si>
    <t>1783</t>
  </si>
  <si>
    <t>1784</t>
  </si>
  <si>
    <t>1785</t>
  </si>
  <si>
    <t>1786</t>
  </si>
  <si>
    <t>1787</t>
  </si>
  <si>
    <t>1788</t>
  </si>
  <si>
    <t>1789</t>
  </si>
  <si>
    <t>1795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</si>
  <si>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</si>
  <si>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</si>
  <si>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</si>
  <si>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</si>
  <si>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</si>
  <si>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</si>
  <si>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</si>
  <si>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</si>
  <si>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</si>
  <si>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</si>
  <si>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1902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</si>
  <si>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</si>
  <si>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</si>
  <si>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</si>
  <si>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</si>
  <si>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</si>
  <si>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</si>
  <si>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</si>
  <si>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</si>
  <si>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</si>
  <si>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</si>
  <si>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</si>
  <si>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</si>
  <si>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</si>
  <si>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</si>
  <si>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</si>
  <si>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</si>
  <si>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</si>
  <si>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</si>
  <si>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</si>
  <si>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</si>
  <si>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</si>
  <si>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</si>
  <si>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</si>
  <si>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</si>
  <si>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</si>
  <si>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</si>
  <si>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</si>
  <si>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</si>
  <si>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</si>
  <si>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</si>
  <si>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</si>
  <si>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</si>
  <si>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</si>
  <si>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</si>
  <si>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</si>
  <si>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</si>
  <si>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</si>
  <si>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</si>
  <si>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2066</t>
  </si>
  <si>
    <t>2067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</si>
  <si>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</si>
  <si>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</si>
  <si>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</si>
  <si>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</si>
  <si>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</si>
  <si>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</si>
  <si>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</si>
  <si>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</si>
  <si>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</si>
  <si>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</si>
  <si>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</si>
  <si>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</si>
  <si>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</si>
  <si>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</si>
  <si>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</si>
  <si>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</si>
  <si>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</si>
  <si>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</si>
  <si>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</si>
  <si>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</si>
  <si>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</si>
  <si>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</si>
  <si>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</si>
  <si>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</si>
  <si>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</si>
  <si>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2301</t>
  </si>
  <si>
    <t>2302</t>
  </si>
  <si>
    <t>2303</t>
  </si>
  <si>
    <t>2305</t>
  </si>
  <si>
    <t>2308</t>
  </si>
  <si>
    <t>2311</t>
  </si>
  <si>
    <t>2312</t>
  </si>
  <si>
    <t>2313</t>
  </si>
  <si>
    <t>2314</t>
  </si>
  <si>
    <t>2316</t>
  </si>
  <si>
    <t>2317</t>
  </si>
  <si>
    <t>2321</t>
  </si>
  <si>
    <t>2323</t>
  </si>
  <si>
    <t>2324</t>
  </si>
  <si>
    <t>2325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</si>
  <si>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</si>
  <si>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</si>
  <si>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</si>
  <si>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</si>
  <si>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</si>
  <si>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</si>
  <si>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</si>
  <si>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</si>
  <si>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</si>
  <si>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</si>
  <si>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</si>
  <si>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</si>
  <si>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</si>
  <si>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</si>
  <si>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</si>
  <si>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</si>
  <si>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</si>
  <si>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</si>
  <si>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</si>
  <si>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</si>
  <si>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</si>
  <si>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</si>
  <si>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</si>
  <si>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</si>
  <si>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</si>
  <si>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</si>
  <si>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</si>
  <si>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</si>
  <si>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</si>
  <si>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</si>
  <si>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</si>
  <si>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</si>
  <si>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</si>
  <si>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</si>
  <si>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</si>
  <si>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</si>
  <si>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</si>
  <si>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</si>
  <si>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</si>
  <si>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</si>
  <si>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</si>
  <si>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</si>
  <si>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</si>
  <si>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</si>
  <si>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</si>
  <si>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</si>
  <si>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</si>
  <si>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</si>
  <si>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</si>
  <si>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</si>
  <si>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</si>
  <si>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</si>
  <si>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</si>
  <si>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</si>
  <si>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</si>
  <si>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</si>
  <si>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</si>
  <si>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</si>
  <si>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</si>
  <si>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</si>
  <si>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</si>
  <si>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</si>
  <si>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</si>
  <si>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</si>
  <si>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</si>
  <si>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</si>
  <si>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</si>
  <si>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</si>
  <si>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</si>
  <si>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</si>
  <si>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</si>
  <si>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</si>
  <si>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</si>
  <si>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</si>
  <si>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</si>
  <si>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</si>
  <si>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</si>
  <si>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</si>
  <si>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2437</t>
  </si>
  <si>
    <t>2438</t>
  </si>
  <si>
    <t>2439</t>
  </si>
  <si>
    <t>2440</t>
  </si>
  <si>
    <t>2441</t>
  </si>
  <si>
    <t>2442</t>
  </si>
  <si>
    <t>2443</t>
  </si>
  <si>
    <t>2444</t>
  </si>
  <si>
    <t>2448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</si>
  <si>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</si>
  <si>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</si>
  <si>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</si>
  <si>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</si>
  <si>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</si>
  <si>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</si>
  <si>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</si>
  <si>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</si>
  <si>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</si>
  <si>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</si>
  <si>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</si>
  <si>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</si>
  <si>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</si>
  <si>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</si>
  <si>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</si>
  <si>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</si>
  <si>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</si>
  <si>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</si>
  <si>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</si>
  <si>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</si>
  <si>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</si>
  <si>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2475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</si>
  <si>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</si>
  <si>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</si>
  <si>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</si>
  <si>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</si>
  <si>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</si>
  <si>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</si>
  <si>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</si>
  <si>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</si>
  <si>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</si>
  <si>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</si>
  <si>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</si>
  <si>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</si>
  <si>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</si>
  <si>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</si>
  <si>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</si>
  <si>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</si>
  <si>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</si>
  <si>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</si>
  <si>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</si>
  <si>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2499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</si>
  <si>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</si>
  <si>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</si>
  <si>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</si>
  <si>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</si>
  <si>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</si>
  <si>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</si>
  <si>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</si>
  <si>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</si>
  <si>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</si>
  <si>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</si>
  <si>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</si>
  <si>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</si>
  <si>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</si>
  <si>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</si>
  <si>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</si>
  <si>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</si>
  <si>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</si>
  <si>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</si>
  <si>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</si>
  <si>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</si>
  <si>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</si>
  <si>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</si>
  <si>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</si>
  <si>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</si>
  <si>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</si>
  <si>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</si>
  <si>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</si>
  <si>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</si>
  <si>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</si>
  <si>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</si>
  <si>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</si>
  <si>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</si>
  <si>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</si>
  <si>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</si>
  <si>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</si>
  <si>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</si>
  <si>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</si>
  <si>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</si>
  <si>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</si>
  <si>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</si>
  <si>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</si>
  <si>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</si>
  <si>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</si>
  <si>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</si>
  <si>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</si>
  <si>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2634</t>
  </si>
  <si>
    <t>2636</t>
  </si>
  <si>
    <t>2637</t>
  </si>
  <si>
    <t>2640</t>
  </si>
  <si>
    <t>2641</t>
  </si>
  <si>
    <t>2642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</si>
  <si>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</si>
  <si>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</si>
  <si>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</si>
  <si>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</si>
  <si>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</si>
  <si>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</si>
  <si>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</si>
  <si>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</si>
  <si>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</si>
  <si>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</si>
  <si>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</si>
  <si>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</si>
  <si>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</si>
  <si>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</si>
  <si>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</si>
  <si>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</si>
  <si>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</si>
  <si>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</si>
  <si>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</si>
  <si>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2740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</si>
  <si>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</si>
  <si>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</si>
  <si>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</si>
  <si>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</si>
  <si>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</si>
  <si>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</si>
  <si>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</si>
  <si>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</si>
  <si>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</si>
  <si>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</si>
  <si>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</si>
  <si>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</si>
  <si>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2847</t>
  </si>
  <si>
    <t>2849</t>
  </si>
  <si>
    <t>2850</t>
  </si>
  <si>
    <t>2851</t>
  </si>
  <si>
    <t>2852</t>
  </si>
  <si>
    <t>2855</t>
  </si>
  <si>
    <t>2856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</si>
  <si>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</si>
  <si>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</si>
  <si>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</si>
  <si>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</si>
  <si>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</si>
  <si>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</si>
  <si>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</si>
  <si>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</si>
  <si>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</si>
  <si>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</si>
  <si>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</si>
  <si>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</si>
  <si>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</si>
  <si>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</si>
  <si>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</si>
  <si>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</si>
  <si>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</si>
  <si>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</si>
  <si>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</si>
  <si>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</si>
  <si>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</si>
  <si>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</si>
  <si>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</si>
  <si>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</si>
  <si>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</si>
  <si>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</si>
  <si>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</si>
  <si>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</si>
  <si>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</si>
  <si>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</si>
  <si>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</si>
  <si>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</si>
  <si>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</si>
  <si>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</si>
  <si>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</si>
  <si>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</si>
  <si>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</si>
  <si>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</si>
  <si>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</si>
  <si>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</si>
  <si>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</si>
  <si>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</si>
  <si>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</si>
  <si>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</si>
  <si>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</si>
  <si>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</si>
  <si>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</si>
  <si>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</si>
  <si>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</si>
  <si>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</si>
  <si>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</si>
  <si>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</si>
  <si>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</si>
  <si>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</si>
  <si>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</si>
  <si>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</si>
  <si>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</si>
  <si>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</si>
  <si>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</si>
  <si>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</si>
  <si>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</si>
  <si>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</si>
  <si>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</si>
  <si>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</si>
  <si>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</si>
  <si>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</si>
  <si>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</si>
  <si>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</si>
  <si>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</si>
  <si>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</si>
  <si>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</si>
  <si>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</si>
  <si>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</si>
  <si>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</si>
  <si>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</si>
  <si>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</si>
  <si>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</si>
  <si>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</si>
  <si>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</si>
  <si>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</si>
  <si>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</si>
  <si>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</si>
  <si>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</si>
  <si>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</si>
  <si>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</si>
  <si>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</si>
  <si>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</si>
  <si>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</si>
  <si>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3068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</si>
  <si>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</si>
  <si>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</si>
  <si>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</si>
  <si>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</si>
  <si>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</si>
  <si>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</si>
  <si>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</si>
  <si>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</si>
  <si>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</si>
  <si>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</si>
  <si>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</si>
  <si>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</si>
  <si>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</si>
  <si>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</si>
  <si>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</si>
  <si>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</si>
  <si>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</si>
  <si>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</si>
  <si>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</si>
  <si>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3126</t>
  </si>
  <si>
    <t>3128</t>
  </si>
  <si>
    <t>3130</t>
  </si>
  <si>
    <t>3131</t>
  </si>
  <si>
    <t>3141</t>
  </si>
  <si>
    <t>3144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</si>
  <si>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</si>
  <si>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</si>
  <si>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</si>
  <si>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</si>
  <si>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</si>
  <si>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</si>
  <si>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</si>
  <si>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</si>
  <si>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</si>
  <si>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</si>
  <si>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</si>
  <si>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</si>
  <si>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</si>
  <si>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</si>
  <si>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</si>
  <si>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</si>
  <si>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</si>
  <si>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</si>
  <si>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</si>
  <si>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</si>
  <si>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</si>
  <si>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</si>
  <si>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</si>
  <si>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</si>
  <si>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</si>
  <si>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</si>
  <si>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</si>
  <si>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</si>
  <si>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</si>
  <si>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</si>
  <si>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</si>
  <si>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</si>
  <si>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</si>
  <si>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</si>
  <si>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</si>
  <si>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</si>
  <si>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</si>
  <si>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</si>
  <si>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</si>
  <si>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</si>
  <si>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</si>
  <si>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</si>
  <si>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</si>
  <si>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</si>
  <si>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</si>
  <si>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</si>
  <si>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</si>
  <si>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</si>
  <si>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</si>
  <si>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3291</t>
  </si>
  <si>
    <t>3293</t>
  </si>
  <si>
    <t>3294</t>
  </si>
  <si>
    <t>3296</t>
  </si>
  <si>
    <t>3297</t>
  </si>
  <si>
    <t>3299</t>
  </si>
  <si>
    <t>3303</t>
  </si>
  <si>
    <t>3305</t>
  </si>
  <si>
    <t>3306</t>
  </si>
  <si>
    <t>3308</t>
  </si>
  <si>
    <t>3310</t>
  </si>
  <si>
    <t>3311</t>
  </si>
  <si>
    <t>3312</t>
  </si>
  <si>
    <t>3313</t>
  </si>
  <si>
    <t>3315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</si>
  <si>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</si>
  <si>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</si>
  <si>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</si>
  <si>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</si>
  <si>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</si>
  <si>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</si>
  <si>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</si>
  <si>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</si>
  <si>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</si>
  <si>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3354</t>
  </si>
  <si>
    <t>3356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</si>
  <si>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</si>
  <si>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</si>
  <si>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</si>
  <si>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</si>
  <si>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</si>
  <si>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</si>
  <si>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</si>
  <si>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</si>
  <si>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</si>
  <si>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</si>
  <si>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</si>
  <si>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</si>
  <si>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</si>
  <si>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</si>
  <si>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</si>
  <si>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</si>
  <si>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</si>
  <si>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3428</t>
  </si>
  <si>
    <t>3431</t>
  </si>
  <si>
    <t>3432</t>
  </si>
  <si>
    <t>3434</t>
  </si>
  <si>
    <t>3437</t>
  </si>
  <si>
    <t>3438</t>
  </si>
  <si>
    <t>3441</t>
  </si>
  <si>
    <t>3443</t>
  </si>
  <si>
    <t>3444</t>
  </si>
  <si>
    <t>3450</t>
  </si>
  <si>
    <t>3452</t>
  </si>
  <si>
    <t>3454</t>
  </si>
  <si>
    <t>3455</t>
  </si>
  <si>
    <t>3465</t>
  </si>
  <si>
    <t>3466</t>
  </si>
  <si>
    <t>3474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</si>
  <si>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</si>
  <si>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</si>
  <si>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</si>
  <si>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</si>
  <si>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</si>
  <si>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</si>
  <si>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</si>
  <si>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</si>
  <si>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</si>
  <si>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</si>
  <si>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</si>
  <si>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</si>
  <si>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</si>
  <si>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</si>
  <si>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</si>
  <si>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</si>
  <si>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3514</t>
  </si>
  <si>
    <t>3515</t>
  </si>
  <si>
    <t>3516</t>
  </si>
  <si>
    <t>3518</t>
  </si>
  <si>
    <t>3519</t>
  </si>
  <si>
    <t>3520</t>
  </si>
  <si>
    <t>3521</t>
  </si>
  <si>
    <t>3522</t>
  </si>
  <si>
    <t>3523</t>
  </si>
  <si>
    <t>3526</t>
  </si>
  <si>
    <t>3527</t>
  </si>
  <si>
    <t>3528</t>
  </si>
  <si>
    <t>3529</t>
  </si>
  <si>
    <t>3531</t>
  </si>
  <si>
    <t>3532</t>
  </si>
  <si>
    <t>3533</t>
  </si>
  <si>
    <t>3535</t>
  </si>
  <si>
    <t>3536</t>
  </si>
  <si>
    <t>3537</t>
  </si>
  <si>
    <t>3540</t>
  </si>
  <si>
    <t>3541</t>
  </si>
  <si>
    <t>3545</t>
  </si>
  <si>
    <t>3546</t>
  </si>
  <si>
    <t>3548</t>
  </si>
  <si>
    <t>3550</t>
  </si>
  <si>
    <t>3551</t>
  </si>
  <si>
    <t>3552</t>
  </si>
  <si>
    <t>3553</t>
  </si>
  <si>
    <t>3555</t>
  </si>
  <si>
    <t>3556</t>
  </si>
  <si>
    <t>3557</t>
  </si>
  <si>
    <t>3558</t>
  </si>
  <si>
    <t>3559</t>
  </si>
  <si>
    <t>3561</t>
  </si>
  <si>
    <t>3562</t>
  </si>
  <si>
    <t>3563</t>
  </si>
  <si>
    <t>3564</t>
  </si>
  <si>
    <t>3567</t>
  </si>
  <si>
    <t>3570</t>
  </si>
  <si>
    <t>3573</t>
  </si>
  <si>
    <t>3576</t>
  </si>
  <si>
    <t>3577</t>
  </si>
  <si>
    <t>3579</t>
  </si>
  <si>
    <t>3580</t>
  </si>
  <si>
    <t>3581</t>
  </si>
  <si>
    <t>3583</t>
  </si>
  <si>
    <t>3584</t>
  </si>
  <si>
    <t>3587</t>
  </si>
  <si>
    <t>3588</t>
  </si>
  <si>
    <t>3591</t>
  </si>
  <si>
    <t>3593</t>
  </si>
  <si>
    <t>3594</t>
  </si>
  <si>
    <t>3596</t>
  </si>
  <si>
    <t>3598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</si>
  <si>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</si>
  <si>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</si>
  <si>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</si>
  <si>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</si>
  <si>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</si>
  <si>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</si>
  <si>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</si>
  <si>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</si>
  <si>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</si>
  <si>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</si>
  <si>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</si>
  <si>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</si>
  <si>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</si>
  <si>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</si>
  <si>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</si>
  <si>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</si>
  <si>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</si>
  <si>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</si>
  <si>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</si>
  <si>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</si>
  <si>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3658</t>
  </si>
  <si>
    <t>3661</t>
  </si>
  <si>
    <t>3662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</si>
  <si>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</si>
  <si>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</si>
  <si>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</si>
  <si>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</si>
  <si>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</si>
  <si>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</si>
  <si>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</si>
  <si>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</si>
  <si>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</si>
  <si>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</si>
  <si>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</si>
  <si>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</si>
  <si>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</si>
  <si>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</si>
  <si>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</si>
  <si>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</si>
  <si>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</si>
  <si>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</si>
  <si>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</si>
  <si>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3698</t>
  </si>
  <si>
    <t>3701</t>
  </si>
  <si>
    <t>3702</t>
  </si>
  <si>
    <t>3703</t>
  </si>
  <si>
    <t>3704</t>
  </si>
  <si>
    <t>3705</t>
  </si>
  <si>
    <t>3706</t>
  </si>
  <si>
    <t>3707</t>
  </si>
  <si>
    <t>4102</t>
  </si>
  <si>
    <t>4103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</si>
  <si>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</si>
  <si>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</si>
  <si>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</si>
  <si>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</si>
  <si>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</si>
  <si>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</si>
  <si>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</si>
  <si>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</si>
  <si>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</si>
  <si>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</si>
  <si>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</si>
  <si>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</si>
  <si>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</si>
  <si>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</si>
  <si>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</si>
  <si>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</si>
  <si>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</si>
  <si>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</si>
  <si>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</si>
  <si>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</si>
  <si>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</si>
  <si>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</si>
  <si>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</si>
  <si>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</si>
  <si>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</si>
  <si>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</si>
  <si>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4144</t>
  </si>
  <si>
    <t>4147</t>
  </si>
  <si>
    <t>4152</t>
  </si>
  <si>
    <t>4153</t>
  </si>
  <si>
    <t>4154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</si>
  <si>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</si>
  <si>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</si>
  <si>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</si>
  <si>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</si>
  <si>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</si>
  <si>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</si>
  <si>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</si>
  <si>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</si>
  <si>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</si>
  <si>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</si>
  <si>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</si>
  <si>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</si>
  <si>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4180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</si>
  <si>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</si>
  <si>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</si>
  <si>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</si>
  <si>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</si>
  <si>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</si>
  <si>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</si>
  <si>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</si>
  <si>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</si>
  <si>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</si>
  <si>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</si>
  <si>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</si>
  <si>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</si>
  <si>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</si>
  <si>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</si>
  <si>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</si>
  <si>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4415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</si>
  <si>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</si>
  <si>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</si>
  <si>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</si>
  <si>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</si>
  <si>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</si>
  <si>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</si>
  <si>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</si>
  <si>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</si>
  <si>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</si>
  <si>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</si>
  <si>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</si>
  <si>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</si>
  <si>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</si>
  <si>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</si>
  <si>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</si>
  <si>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</si>
  <si>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</si>
  <si>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</si>
  <si>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</si>
  <si>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</si>
  <si>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</si>
  <si>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</si>
  <si>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</si>
  <si>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</si>
  <si>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</si>
  <si>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4541</t>
  </si>
  <si>
    <t>4542</t>
  </si>
  <si>
    <t>4545</t>
  </si>
  <si>
    <t>4549</t>
  </si>
  <si>
    <t>4550</t>
  </si>
  <si>
    <t>4551</t>
  </si>
  <si>
    <t>4555</t>
  </si>
  <si>
    <t>4556</t>
  </si>
  <si>
    <t>4557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</si>
  <si>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</si>
  <si>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</si>
  <si>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</si>
  <si>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</si>
  <si>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</si>
  <si>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</si>
  <si>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</si>
  <si>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</si>
  <si>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</si>
  <si>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</si>
  <si>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</si>
  <si>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4725</t>
  </si>
  <si>
    <t>4726</t>
  </si>
  <si>
    <t>4728</t>
  </si>
  <si>
    <t>4729</t>
  </si>
  <si>
    <t>4733</t>
  </si>
  <si>
    <t>4735</t>
  </si>
  <si>
    <t>4736</t>
  </si>
  <si>
    <t>4737</t>
  </si>
  <si>
    <t>4739</t>
  </si>
  <si>
    <t>4743</t>
  </si>
  <si>
    <t>4745</t>
  </si>
  <si>
    <t>4746</t>
  </si>
  <si>
    <t>4747</t>
  </si>
  <si>
    <t>4755</t>
  </si>
  <si>
    <t>4762</t>
  </si>
  <si>
    <t>4763</t>
  </si>
  <si>
    <t>4803</t>
  </si>
  <si>
    <t>4804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</si>
  <si>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</si>
  <si>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</si>
  <si>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</si>
  <si>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</si>
  <si>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</si>
  <si>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</si>
  <si>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</si>
  <si>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</si>
  <si>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</si>
  <si>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</si>
  <si>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</si>
  <si>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</si>
  <si>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</si>
  <si>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</si>
  <si>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</si>
  <si>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4933</t>
  </si>
  <si>
    <t>4934</t>
  </si>
  <si>
    <t>4935</t>
  </si>
  <si>
    <t>4938</t>
  </si>
  <si>
    <t>4939</t>
  </si>
  <si>
    <t>4942</t>
  </si>
  <si>
    <t>4944</t>
  </si>
  <si>
    <t>4946</t>
  </si>
  <si>
    <t>4947</t>
  </si>
  <si>
    <t>4950</t>
  </si>
  <si>
    <t>4952</t>
  </si>
  <si>
    <t>4953</t>
  </si>
  <si>
    <t>4956</t>
  </si>
  <si>
    <t>4958</t>
  </si>
  <si>
    <t>4960</t>
  </si>
  <si>
    <t>4965</t>
  </si>
  <si>
    <t>4966</t>
  </si>
  <si>
    <t>4968</t>
  </si>
  <si>
    <t>4971</t>
  </si>
  <si>
    <t>4972</t>
  </si>
  <si>
    <t>4973</t>
  </si>
  <si>
    <t>4974</t>
  </si>
  <si>
    <t>4976</t>
  </si>
  <si>
    <t>4977</t>
  </si>
  <si>
    <t>4979</t>
  </si>
  <si>
    <t>4984</t>
  </si>
  <si>
    <t>4987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</si>
  <si>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</si>
  <si>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</si>
  <si>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</si>
  <si>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</si>
  <si>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</si>
  <si>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</si>
  <si>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</si>
  <si>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</si>
  <si>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</si>
  <si>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</si>
  <si>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</si>
  <si>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</si>
  <si>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</si>
  <si>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</si>
  <si>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</si>
  <si>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</si>
  <si>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</si>
  <si>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</si>
  <si>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</si>
  <si>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</si>
  <si>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</si>
  <si>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</si>
  <si>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</si>
  <si>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5225</t>
  </si>
  <si>
    <t>5227</t>
  </si>
  <si>
    <t>5230</t>
  </si>
  <si>
    <t>5234</t>
  </si>
  <si>
    <t>5243</t>
  </si>
  <si>
    <t>5245</t>
  </si>
  <si>
    <t>5251</t>
  </si>
  <si>
    <t>5255</t>
  </si>
  <si>
    <t>5259</t>
  </si>
  <si>
    <t>5263</t>
  </si>
  <si>
    <t>5264</t>
  </si>
  <si>
    <t>5266</t>
  </si>
  <si>
    <t>5269</t>
  </si>
  <si>
    <t>5272</t>
  </si>
  <si>
    <t>5274</t>
  </si>
  <si>
    <t>5276</t>
  </si>
  <si>
    <t>5278</t>
  </si>
  <si>
    <t>5284</t>
  </si>
  <si>
    <t>5285</t>
  </si>
  <si>
    <t>5287</t>
  </si>
  <si>
    <t>5288</t>
  </si>
  <si>
    <t>5289</t>
  </si>
  <si>
    <t>5291</t>
  </si>
  <si>
    <t>5301</t>
  </si>
  <si>
    <t>5302</t>
  </si>
  <si>
    <t>5304</t>
  </si>
  <si>
    <t>5305</t>
  </si>
  <si>
    <t>5306</t>
  </si>
  <si>
    <t>5309</t>
  </si>
  <si>
    <t>5310</t>
  </si>
  <si>
    <t>5312</t>
  </si>
  <si>
    <t>5314</t>
  </si>
  <si>
    <t>5315</t>
  </si>
  <si>
    <t>5317</t>
  </si>
  <si>
    <t>5321</t>
  </si>
  <si>
    <t>5324</t>
  </si>
  <si>
    <t>5328</t>
  </si>
  <si>
    <t>5340</t>
  </si>
  <si>
    <t>5344</t>
  </si>
  <si>
    <t>5345</t>
  </si>
  <si>
    <t>5347</t>
  </si>
  <si>
    <t>5348</t>
  </si>
  <si>
    <t>5349</t>
  </si>
  <si>
    <t>5351</t>
  </si>
  <si>
    <t>5353</t>
  </si>
  <si>
    <t>5355</t>
  </si>
  <si>
    <t>5356</t>
  </si>
  <si>
    <t>5364</t>
  </si>
  <si>
    <t>5371</t>
  </si>
  <si>
    <t>5381</t>
  </si>
  <si>
    <t>5383</t>
  </si>
  <si>
    <t>5384</t>
  </si>
  <si>
    <t>5386</t>
  </si>
  <si>
    <t>5388</t>
  </si>
  <si>
    <t>5392</t>
  </si>
  <si>
    <t>5395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</si>
  <si>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</si>
  <si>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</si>
  <si>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</si>
  <si>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</si>
  <si>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</si>
  <si>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</si>
  <si>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</si>
  <si>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</si>
  <si>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</si>
  <si>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</si>
  <si>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</si>
  <si>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</si>
  <si>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</si>
  <si>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</si>
  <si>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</si>
  <si>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</si>
  <si>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</si>
  <si>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</si>
  <si>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</si>
  <si>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</si>
  <si>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</si>
  <si>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</si>
  <si>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</si>
  <si>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5480</t>
  </si>
  <si>
    <t>5481</t>
  </si>
  <si>
    <t>5483</t>
  </si>
  <si>
    <t>5484</t>
  </si>
  <si>
    <t>5487</t>
  </si>
  <si>
    <t>5488</t>
  </si>
  <si>
    <t>5489</t>
  </si>
  <si>
    <t>5490</t>
  </si>
  <si>
    <t>5491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</si>
  <si>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</si>
  <si>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</si>
  <si>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</si>
  <si>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</si>
  <si>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</si>
  <si>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</si>
  <si>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</si>
  <si>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</si>
  <si>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</si>
  <si>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</si>
  <si>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</si>
  <si>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</si>
  <si>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</si>
  <si>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</si>
  <si>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</si>
  <si>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</si>
  <si>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</si>
  <si>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</si>
  <si>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</si>
  <si>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</si>
  <si>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</si>
  <si>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</si>
  <si>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</si>
  <si>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</si>
  <si>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</si>
  <si>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</si>
  <si>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</si>
  <si>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</si>
  <si>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</si>
  <si>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</si>
  <si>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</si>
  <si>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</si>
  <si>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5871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</si>
  <si>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</si>
  <si>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</si>
  <si>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</si>
  <si>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</si>
  <si>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</si>
  <si>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</si>
  <si>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</si>
  <si>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</si>
  <si>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</si>
  <si>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</si>
  <si>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</si>
  <si>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</si>
  <si>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</si>
  <si>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6022</t>
  </si>
  <si>
    <t>6023</t>
  </si>
  <si>
    <t>6024</t>
  </si>
  <si>
    <t>6026</t>
  </si>
  <si>
    <t>6101</t>
  </si>
  <si>
    <t>6103</t>
  </si>
  <si>
    <t>6104</t>
  </si>
  <si>
    <t>6105</t>
  </si>
  <si>
    <t>6107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</si>
  <si>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</si>
  <si>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</si>
  <si>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</si>
  <si>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</si>
  <si>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</si>
  <si>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</si>
  <si>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</si>
  <si>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</si>
  <si>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</si>
  <si>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</si>
  <si>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</si>
  <si>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</si>
  <si>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</si>
  <si>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</si>
  <si>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</si>
  <si>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</si>
  <si>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</si>
  <si>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</si>
  <si>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</si>
  <si>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</si>
  <si>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</si>
  <si>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</si>
  <si>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</si>
  <si>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</si>
  <si>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</si>
  <si>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</si>
  <si>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</si>
  <si>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</si>
  <si>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</si>
  <si>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</si>
  <si>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</si>
  <si>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</si>
  <si>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6145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</si>
  <si>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</si>
  <si>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</si>
  <si>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</si>
  <si>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</si>
  <si>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</si>
  <si>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</si>
  <si>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</si>
  <si>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</si>
  <si>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</si>
  <si>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</si>
  <si>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</si>
  <si>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</si>
  <si>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</si>
  <si>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</si>
  <si>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</si>
  <si>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</si>
  <si>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</si>
  <si>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</si>
  <si>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</si>
  <si>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</si>
  <si>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</si>
  <si>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</si>
  <si>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</si>
  <si>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</si>
  <si>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</si>
  <si>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</si>
  <si>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</si>
  <si>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</si>
  <si>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</si>
  <si>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</si>
  <si>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</si>
  <si>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</si>
  <si>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</si>
  <si>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</si>
  <si>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</si>
  <si>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</si>
  <si>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</si>
  <si>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</si>
  <si>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</si>
  <si>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</si>
  <si>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</si>
  <si>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</si>
  <si>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</si>
  <si>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</si>
  <si>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</si>
  <si>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</si>
  <si>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</si>
  <si>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</si>
  <si>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</si>
  <si>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</si>
  <si>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</si>
  <si>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</si>
  <si>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</si>
  <si>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</si>
  <si>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</si>
  <si>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</si>
  <si>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</si>
  <si>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</si>
  <si>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</si>
  <si>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</si>
  <si>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</si>
  <si>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</si>
  <si>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</si>
  <si>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</si>
  <si>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</si>
  <si>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</si>
  <si>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</si>
  <si>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</si>
  <si>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</si>
  <si>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</si>
  <si>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</si>
  <si>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</si>
  <si>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</si>
  <si>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</si>
  <si>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</si>
  <si>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</si>
  <si>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</si>
  <si>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</si>
  <si>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</si>
  <si>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</si>
  <si>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</si>
  <si>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</si>
  <si>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6238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</si>
  <si>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</si>
  <si>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</si>
  <si>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</si>
  <si>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</si>
  <si>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</si>
  <si>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</si>
  <si>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</si>
  <si>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</si>
  <si>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</si>
  <si>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</si>
  <si>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6250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</si>
  <si>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</si>
  <si>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</si>
  <si>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</si>
  <si>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</si>
  <si>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</si>
  <si>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</si>
  <si>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</si>
  <si>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</si>
  <si>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</si>
  <si>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</si>
  <si>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</si>
  <si>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</si>
  <si>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</si>
  <si>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</si>
  <si>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</si>
  <si>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</si>
  <si>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</si>
  <si>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</si>
  <si>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</si>
  <si>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</si>
  <si>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</si>
  <si>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</si>
  <si>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6286</t>
  </si>
  <si>
    <t>6287</t>
  </si>
  <si>
    <t>6289</t>
  </si>
  <si>
    <t>6290</t>
  </si>
  <si>
    <t>6291</t>
  </si>
  <si>
    <t>6292</t>
  </si>
  <si>
    <t>6294</t>
  </si>
  <si>
    <t>6298</t>
  </si>
  <si>
    <t>6404</t>
  </si>
  <si>
    <t>6405</t>
  </si>
  <si>
    <t>6409</t>
  </si>
  <si>
    <t>6411</t>
  </si>
  <si>
    <t>6412</t>
  </si>
  <si>
    <t>6414</t>
  </si>
  <si>
    <t>6415</t>
  </si>
  <si>
    <t>6417</t>
  </si>
  <si>
    <t>6419</t>
  </si>
  <si>
    <t>6422</t>
  </si>
  <si>
    <t>6426</t>
  </si>
  <si>
    <t>6431</t>
  </si>
  <si>
    <t>6432</t>
  </si>
  <si>
    <t>6435</t>
  </si>
  <si>
    <t>6442</t>
  </si>
  <si>
    <t>6443</t>
  </si>
  <si>
    <t>6449</t>
  </si>
  <si>
    <t>6451</t>
  </si>
  <si>
    <t>6452</t>
  </si>
  <si>
    <t>6456</t>
  </si>
  <si>
    <t>6457</t>
  </si>
  <si>
    <t>6462</t>
  </si>
  <si>
    <t>6464</t>
  </si>
  <si>
    <t>6465</t>
  </si>
  <si>
    <t>6470</t>
  </si>
  <si>
    <t>6485</t>
  </si>
  <si>
    <t>6488</t>
  </si>
  <si>
    <t>6496</t>
  </si>
  <si>
    <t>6504</t>
  </si>
  <si>
    <t>6505</t>
  </si>
  <si>
    <t>6506</t>
  </si>
  <si>
    <t>6508</t>
  </si>
  <si>
    <t>6509</t>
  </si>
  <si>
    <t>6514</t>
  </si>
  <si>
    <t>6603</t>
  </si>
  <si>
    <t>6605</t>
  </si>
  <si>
    <t>6609</t>
  </si>
  <si>
    <t>6702</t>
  </si>
  <si>
    <t>6803</t>
  </si>
  <si>
    <t>7402</t>
  </si>
  <si>
    <t>8011</t>
  </si>
  <si>
    <t>8016</t>
  </si>
  <si>
    <t>8021</t>
  </si>
  <si>
    <t>8024</t>
  </si>
  <si>
    <t>8027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</si>
  <si>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</si>
  <si>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</si>
  <si>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</si>
  <si>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</si>
  <si>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</si>
  <si>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</si>
  <si>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</si>
  <si>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</si>
  <si>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</si>
  <si>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</si>
  <si>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</si>
  <si>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</si>
  <si>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</si>
  <si>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</si>
  <si>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8053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</si>
  <si>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</si>
  <si>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</si>
  <si>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</si>
  <si>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</si>
  <si>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</si>
  <si>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</si>
  <si>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</si>
  <si>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</si>
  <si>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</si>
  <si>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</si>
  <si>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</si>
  <si>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</si>
  <si>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</si>
  <si>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8079</t>
  </si>
  <si>
    <t>8080</t>
  </si>
  <si>
    <t>8081</t>
  </si>
  <si>
    <t>8082</t>
  </si>
  <si>
    <t>8083</t>
  </si>
  <si>
    <t>8084</t>
  </si>
  <si>
    <t>8085</t>
  </si>
  <si>
    <t>8086</t>
  </si>
  <si>
    <t>8087</t>
  </si>
  <si>
    <t>8088</t>
  </si>
  <si>
    <t>8091</t>
  </si>
  <si>
    <t>8092</t>
  </si>
  <si>
    <t>8093</t>
  </si>
  <si>
    <t>8096</t>
  </si>
  <si>
    <t>8097</t>
  </si>
  <si>
    <t>8099</t>
  </si>
  <si>
    <t>8101</t>
  </si>
  <si>
    <t>8103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</si>
  <si>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</si>
  <si>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</si>
  <si>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</si>
  <si>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</si>
  <si>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</si>
  <si>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</si>
  <si>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</si>
  <si>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</si>
  <si>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</si>
  <si>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</si>
  <si>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</si>
  <si>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</si>
  <si>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</si>
  <si>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</si>
  <si>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</si>
  <si>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</si>
  <si>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</si>
  <si>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</si>
  <si>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</si>
  <si>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</si>
  <si>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</si>
  <si>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</si>
  <si>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</si>
  <si>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</si>
  <si>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</si>
  <si>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</si>
  <si>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</si>
  <si>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8266</t>
  </si>
  <si>
    <t>8271</t>
  </si>
  <si>
    <t>8277</t>
  </si>
  <si>
    <t>8287</t>
  </si>
  <si>
    <t>8289</t>
  </si>
  <si>
    <t>8291</t>
  </si>
  <si>
    <t>8299</t>
  </si>
  <si>
    <t>8341</t>
  </si>
  <si>
    <t>8349</t>
  </si>
  <si>
    <t>8354</t>
  </si>
  <si>
    <t>8358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</si>
  <si>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</si>
  <si>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</si>
  <si>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</si>
  <si>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</si>
  <si>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</si>
  <si>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</si>
  <si>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</si>
  <si>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</si>
  <si>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</si>
  <si>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</si>
  <si>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</si>
  <si>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</si>
  <si>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</si>
  <si>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</si>
  <si>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</si>
  <si>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</si>
  <si>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</si>
  <si>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</si>
  <si>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</si>
  <si>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</si>
  <si>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</si>
  <si>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</si>
  <si>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</si>
  <si>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</si>
  <si>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</si>
  <si>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</si>
  <si>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8443</t>
  </si>
  <si>
    <t>8444</t>
  </si>
  <si>
    <t>8446</t>
  </si>
  <si>
    <t>8450</t>
  </si>
  <si>
    <t>8454</t>
  </si>
  <si>
    <t>8455</t>
  </si>
  <si>
    <t>8463</t>
  </si>
  <si>
    <t>8464</t>
  </si>
  <si>
    <t>8467</t>
  </si>
  <si>
    <t>8472</t>
  </si>
  <si>
    <t>8905</t>
  </si>
  <si>
    <t>8906</t>
  </si>
  <si>
    <t>8908</t>
  </si>
  <si>
    <t>8913</t>
  </si>
  <si>
    <t>8916</t>
  </si>
  <si>
    <t>8917</t>
  </si>
  <si>
    <t>8921</t>
  </si>
  <si>
    <t>8923</t>
  </si>
  <si>
    <t>8924</t>
  </si>
  <si>
    <t>8925</t>
  </si>
  <si>
    <t>8926</t>
  </si>
  <si>
    <t>8927</t>
  </si>
  <si>
    <t>8928</t>
  </si>
  <si>
    <t>8929</t>
  </si>
  <si>
    <t>8930</t>
  </si>
  <si>
    <t>8931</t>
  </si>
  <si>
    <t>8932</t>
  </si>
  <si>
    <t>8933</t>
  </si>
  <si>
    <t>8934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</si>
  <si>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</si>
  <si>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</si>
  <si>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</si>
  <si>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</si>
  <si>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</si>
  <si>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</si>
  <si>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</si>
  <si>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</si>
  <si>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</si>
  <si>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</si>
  <si>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910482</t>
  </si>
  <si>
    <t>9105</t>
  </si>
  <si>
    <t>9106</t>
  </si>
  <si>
    <t>910708</t>
  </si>
  <si>
    <t>910801</t>
  </si>
  <si>
    <t>910861</t>
  </si>
  <si>
    <t>9110</t>
  </si>
  <si>
    <t>911608</t>
  </si>
  <si>
    <t>911611</t>
  </si>
  <si>
    <t>911613</t>
  </si>
  <si>
    <t>911616</t>
  </si>
  <si>
    <t>911619</t>
  </si>
  <si>
    <t>911622</t>
  </si>
  <si>
    <t>911626</t>
  </si>
  <si>
    <t>911868</t>
  </si>
  <si>
    <t>912000</t>
  </si>
  <si>
    <t>912398</t>
  </si>
  <si>
    <t>9136</t>
  </si>
  <si>
    <t>9157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</si>
  <si>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</si>
  <si>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</si>
  <si>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</si>
  <si>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</si>
  <si>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</si>
  <si>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</si>
  <si>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</si>
  <si>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</si>
  <si>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</si>
  <si>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</si>
  <si>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</si>
  <si>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</si>
  <si>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</si>
  <si>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</si>
  <si>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</si>
  <si>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</si>
  <si>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</si>
  <si>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</si>
  <si>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</si>
  <si>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</si>
  <si>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</si>
  <si>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</si>
  <si>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</si>
  <si>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</si>
  <si>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</si>
  <si>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</si>
  <si>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</si>
  <si>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</si>
  <si>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</si>
  <si>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</si>
  <si>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</si>
  <si>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</si>
  <si>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</si>
  <si>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</si>
  <si>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</si>
  <si>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</si>
  <si>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</si>
  <si>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</si>
  <si>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</si>
  <si>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</si>
  <si>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</si>
  <si>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</si>
  <si>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</si>
  <si>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</si>
  <si>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恆大</t>
  </si>
  <si>
    <t>信億科技</t>
  </si>
  <si>
    <t>安克</t>
  </si>
  <si>
    <t>今展科</t>
  </si>
  <si>
    <t>格式：一般排行//是/文字///日期//否/</t>
    <phoneticPr fontId="1" type="noConversion"/>
  </si>
  <si>
    <t>基準日:最近一日</t>
    <phoneticPr fontId="1" type="noConversion"/>
  </si>
  <si>
    <t>更新標題:是</t>
    <phoneticPr fontId="1" type="noConversion"/>
  </si>
  <si>
    <t>表格欄位/代號種類^=^S^;^週期編號^=^D^;^AllCMenuIDs^=^M059,M059,M061,M061^;^是否轉置^=^False^;^檢視方式^=^2^;^AllFields^=^外資買賣超,投信買賣超,收盤價,收盤價^;^MainTable^=^^;^ListType^=^^;^SelectDate^=^TOP 1|TOP 1|TOP 1|TOP 12^;^SelectCMenuID^=^M059|M061^;^SelectDate種類^=^1|1|1|1^;^AllFieldsNO^=^,,,^;^自訂欄位公式^=^|||^;^自訂欄位Where條件^=^|||^;^多期數值處理方式^=^1|1|1|3^;^多欄指定個股方式^=^^;^多欄指定個股^=^^;^多欄指定群組名稱^=^^;^欄位顯示狀態^=^1|1|1|1^;^欄位轉換日期方式^=^|||日^;^欄位排序方式^=^|||^;^欄位採用各期最新^=^|||0^;^樣本表系統定義全部代號^=^^;^單項目比較欄位^=^^;^單項目比較欄位編號^=^^;^表格類型^=^</t>
    <phoneticPr fontId="1" type="noConversion"/>
  </si>
  <si>
    <t>資料日期/</t>
    <phoneticPr fontId="1" type="noConversion"/>
  </si>
  <si>
    <t>參考標題</t>
    <phoneticPr fontId="1" type="noConversion"/>
  </si>
  <si>
    <t>股票代號</t>
    <phoneticPr fontId="1" type="noConversion"/>
  </si>
  <si>
    <t>股票名稱</t>
    <phoneticPr fontId="1" type="noConversion"/>
  </si>
  <si>
    <t>日法人持股估計.外資買賣超/每一期/最近/1/遞增/日//</t>
    <phoneticPr fontId="1" type="noConversion"/>
  </si>
  <si>
    <t>日法人持股估計.投信買賣超/每一期/最近/1/遞增/日//</t>
    <phoneticPr fontId="1" type="noConversion"/>
  </si>
  <si>
    <t>日收盤還原表排行.收盤價/每一期/最近/1/遞增/日//</t>
  </si>
  <si>
    <t>日收盤還原表排行.收盤價/各期平均/最近/12//日//</t>
  </si>
  <si>
    <t>你關心的，才是重點！</t>
  </si>
  <si>
    <t>中時電子報</t>
  </si>
  <si>
    <t>udn 買東西</t>
  </si>
  <si>
    <r>
      <t>日期</t>
    </r>
    <r>
      <rPr>
        <b/>
        <sz val="14"/>
        <color rgb="FFFF0000"/>
        <rFont val="新細明體"/>
        <family val="1"/>
        <charset val="136"/>
      </rPr>
      <t>：</t>
    </r>
    <phoneticPr fontId="1" type="noConversion"/>
  </si>
  <si>
    <r>
      <t>RSS</t>
    </r>
    <r>
      <rPr>
        <sz val="7"/>
        <color rgb="FFB4B4B4"/>
        <rFont val="Helvetica"/>
        <family val="2"/>
      </rPr>
      <t xml:space="preserve"> </t>
    </r>
    <r>
      <rPr>
        <sz val="7"/>
        <color rgb="FF606060"/>
        <rFont val="Helvetica"/>
        <family val="2"/>
      </rPr>
      <t>App</t>
    </r>
    <r>
      <rPr>
        <sz val="7"/>
        <color rgb="FFB4B4B4"/>
        <rFont val="Helvetica"/>
        <family val="2"/>
      </rPr>
      <t xml:space="preserve"> </t>
    </r>
    <r>
      <rPr>
        <sz val="7"/>
        <color rgb="FF606060"/>
        <rFont val="Helvetica"/>
        <family val="2"/>
      </rPr>
      <t>粉絲團</t>
    </r>
    <r>
      <rPr>
        <sz val="7"/>
        <color rgb="FFB4B4B4"/>
        <rFont val="Helvetica"/>
        <family val="2"/>
      </rPr>
      <t xml:space="preserve"> </t>
    </r>
    <r>
      <rPr>
        <sz val="7"/>
        <color rgb="FF606060"/>
        <rFont val="Helvetica"/>
        <family val="2"/>
      </rPr>
      <t>我的新聞</t>
    </r>
    <r>
      <rPr>
        <sz val="7"/>
        <color rgb="FFB4B4B4"/>
        <rFont val="Helvetica"/>
        <family val="2"/>
      </rPr>
      <t xml:space="preserve"> </t>
    </r>
    <r>
      <rPr>
        <sz val="7"/>
        <color rgb="FF606060"/>
        <rFont val="Helvetica"/>
        <family val="2"/>
      </rPr>
      <t>udn family</t>
    </r>
  </si>
  <si>
    <r>
      <t>圖表看時事</t>
    </r>
    <r>
      <rPr>
        <sz val="9"/>
        <color theme="1"/>
        <rFont val="Arial"/>
        <family val="2"/>
      </rPr>
      <t xml:space="preserve"> </t>
    </r>
    <r>
      <rPr>
        <sz val="9"/>
        <color rgb="FF444444"/>
        <rFont val="Arial"/>
        <family val="2"/>
      </rPr>
      <t>多元投資專家</t>
    </r>
  </si>
  <si>
    <r>
      <t>1</t>
    </r>
    <r>
      <rPr>
        <sz val="8"/>
        <color rgb="FF444444"/>
        <rFont val="Arial"/>
        <family val="2"/>
      </rPr>
      <t xml:space="preserve"> 2 … 下一頁 最後頁 </t>
    </r>
    <r>
      <rPr>
        <sz val="7"/>
        <color rgb="FF999999"/>
        <rFont val="Arial"/>
        <family val="2"/>
      </rPr>
      <t>共 2 頁</t>
    </r>
  </si>
  <si>
    <t>●活動網</t>
  </si>
  <si>
    <t>●科技商情</t>
  </si>
  <si>
    <t>●企業IT</t>
  </si>
  <si>
    <t>●物聯網</t>
  </si>
  <si>
    <t>●雲端網</t>
  </si>
  <si>
    <t>●工控自動網</t>
  </si>
  <si>
    <t>●智慧城市網</t>
  </si>
  <si>
    <t xml:space="preserve">科技 </t>
  </si>
  <si>
    <t xml:space="preserve">財經 </t>
  </si>
  <si>
    <t xml:space="preserve">Research </t>
  </si>
  <si>
    <t xml:space="preserve">■電子時報 </t>
  </si>
  <si>
    <t xml:space="preserve">■360° </t>
  </si>
  <si>
    <t xml:space="preserve">■主題 </t>
  </si>
  <si>
    <t xml:space="preserve">■深度專輯 </t>
  </si>
  <si>
    <t xml:space="preserve">■多媒體 </t>
  </si>
  <si>
    <t xml:space="preserve">■熱門報導 </t>
  </si>
  <si>
    <t xml:space="preserve">■報導總覽 </t>
  </si>
  <si>
    <t>服務說明│關於DIGITIMES</t>
  </si>
  <si>
    <t xml:space="preserve"> DIGITIMES 》電子時報</t>
  </si>
  <si>
    <t>－要聞－</t>
  </si>
  <si>
    <t>全選取消</t>
  </si>
  <si>
    <t>P.2</t>
  </si>
  <si>
    <t>●</t>
  </si>
  <si>
    <t xml:space="preserve">● </t>
  </si>
  <si>
    <t>Top Bottom</t>
  </si>
  <si>
    <t>P.3</t>
  </si>
  <si>
    <t>－半導體&amp;零組件－</t>
  </si>
  <si>
    <t>P.4</t>
  </si>
  <si>
    <t>－綠色節能－</t>
  </si>
  <si>
    <t>P.5</t>
  </si>
  <si>
    <t>－光電－</t>
  </si>
  <si>
    <t>P.6</t>
  </si>
  <si>
    <t>P.7</t>
  </si>
  <si>
    <t>P.9</t>
  </si>
  <si>
    <t>－財經要聞－</t>
  </si>
  <si>
    <t>P.10</t>
  </si>
  <si>
    <t>P.11</t>
  </si>
  <si>
    <t>－財經焦點－</t>
  </si>
  <si>
    <t>P.12</t>
  </si>
  <si>
    <t>－360°－</t>
  </si>
  <si>
    <t>P.14</t>
  </si>
  <si>
    <t>－觀點－</t>
  </si>
  <si>
    <t>P.15</t>
  </si>
  <si>
    <t>－產業動態－</t>
  </si>
  <si>
    <t>P.16</t>
  </si>
  <si>
    <t xml:space="preserve">  </t>
  </si>
  <si>
    <t>訂閱電子時報</t>
  </si>
  <si>
    <t>放大</t>
  </si>
  <si>
    <t>黃女瑛</t>
  </si>
  <si>
    <t>‧編輯推薦‧</t>
  </si>
  <si>
    <t xml:space="preserve"> 議題精選</t>
  </si>
  <si>
    <t>趨勢圖示</t>
  </si>
  <si>
    <t>聯強國際</t>
  </si>
  <si>
    <t xml:space="preserve">物聯網 </t>
  </si>
  <si>
    <t>雲端網</t>
  </si>
  <si>
    <t xml:space="preserve"> DIGITIMES活動</t>
  </si>
  <si>
    <t>最新活動</t>
  </si>
  <si>
    <t>熱門Slide Show</t>
  </si>
  <si>
    <t>掌握運動控制最新趨勢與發展關鍵,讓產品擁有突破性的創新表現。3/24 不可錯過</t>
  </si>
  <si>
    <t>IoT趨勢下的無線通訊技術新發展</t>
  </si>
  <si>
    <t>更多</t>
  </si>
  <si>
    <t xml:space="preserve">產業商情 </t>
  </si>
  <si>
    <t>產業與技術專輯</t>
  </si>
  <si>
    <t>陽光基金會</t>
  </si>
  <si>
    <t xml:space="preserve">■ MY DIGITIMES   ■ 中文简体版   ■ English  </t>
  </si>
  <si>
    <t xml:space="preserve">公司簡介  |  著作權  |  隱私權  |  常見問題  |  發布新聞稿( 中文 、 English )  |  人才招募 |    Top </t>
  </si>
  <si>
    <t>● 半導體/零組件</t>
  </si>
  <si>
    <t>● 綠色節能</t>
  </si>
  <si>
    <t>● 資訊</t>
  </si>
  <si>
    <t>● 消費性電子</t>
  </si>
  <si>
    <t>● 平面顯示器</t>
  </si>
  <si>
    <t>● 網通/軟體</t>
  </si>
  <si>
    <t>● 產業觀察</t>
  </si>
  <si>
    <t>● CEO</t>
  </si>
  <si>
    <t>● 觀點</t>
  </si>
  <si>
    <t>● 圖表</t>
  </si>
  <si>
    <t>● 兩岸日韓</t>
  </si>
  <si>
    <t>● 國際脈動</t>
  </si>
  <si>
    <t>● 市場/商品</t>
  </si>
  <si>
    <t>● 宏觀趨勢</t>
  </si>
  <si>
    <t>● 商業/創業</t>
  </si>
  <si>
    <t>● 電腦運算</t>
  </si>
  <si>
    <t>● 數位家庭</t>
  </si>
  <si>
    <t>● 可攜式CE</t>
  </si>
  <si>
    <t>● 行動通訊</t>
  </si>
  <si>
    <t>● 寬頻與無線</t>
  </si>
  <si>
    <t>● 大尺寸FPD</t>
  </si>
  <si>
    <t>● 中小尺寸FPD</t>
  </si>
  <si>
    <t>● IC設計</t>
  </si>
  <si>
    <t>● IC製造</t>
  </si>
  <si>
    <t>● LED</t>
  </si>
  <si>
    <t>主題</t>
  </si>
  <si>
    <t>深度專輯</t>
  </si>
  <si>
    <t>多媒體</t>
  </si>
  <si>
    <t>360°</t>
  </si>
  <si>
    <t>● 人物</t>
  </si>
  <si>
    <t>● 公司</t>
  </si>
  <si>
    <t>● 組織</t>
  </si>
  <si>
    <t>● 產品</t>
  </si>
  <si>
    <t>● 技術</t>
  </si>
  <si>
    <t>● 事件</t>
  </si>
  <si>
    <t>● 法規</t>
  </si>
  <si>
    <t>● 城市地區</t>
  </si>
  <si>
    <t>● 財經</t>
  </si>
  <si>
    <t>● 企業應用</t>
  </si>
  <si>
    <t>活動網</t>
  </si>
  <si>
    <t>● 客製化活動行銷</t>
  </si>
  <si>
    <t>● DTF</t>
  </si>
  <si>
    <t>● DAF</t>
  </si>
  <si>
    <t>● 全部活動</t>
  </si>
  <si>
    <t>● 科技行腳</t>
  </si>
  <si>
    <t>Market Place</t>
  </si>
  <si>
    <t>● 企業IT</t>
  </si>
  <si>
    <t>● 科技商情</t>
  </si>
  <si>
    <t>● 物聯網</t>
  </si>
  <si>
    <t>● 雲端網</t>
  </si>
  <si>
    <t>● 工控自動網</t>
  </si>
  <si>
    <t>● 智慧城市網</t>
  </si>
  <si>
    <t>● Slide</t>
  </si>
  <si>
    <t>● Video</t>
  </si>
  <si>
    <t>● 展會專區</t>
  </si>
  <si>
    <t>DIGITIMES</t>
  </si>
  <si>
    <t>● 公司簡介</t>
  </si>
  <si>
    <t>● 會員服務</t>
  </si>
  <si>
    <t>● 商情電子報訂閱</t>
  </si>
  <si>
    <t>● 訂閱電子時報</t>
  </si>
  <si>
    <t>● 廣告刊登</t>
  </si>
  <si>
    <t>● 人才招募</t>
  </si>
  <si>
    <t xml:space="preserve">● 聯絡我們 </t>
  </si>
  <si>
    <t xml:space="preserve">本網站內之全部圖文，係屬於大椽股份有限公司所有，非經本公司同意不得將全部或部分內容轉載於任何形式之媒體 © DIGITIMES Inc. 版權所有 </t>
  </si>
  <si>
    <t>電子時報重點摘要：</t>
    <phoneticPr fontId="1" type="noConversion"/>
  </si>
  <si>
    <t>工商：重點新聞標題：</t>
    <phoneticPr fontId="1" type="noConversion"/>
  </si>
  <si>
    <t>工商：個股新聞標題：       </t>
    <phoneticPr fontId="1" type="noConversion"/>
  </si>
  <si>
    <t>今日個股新聞</t>
    <phoneticPr fontId="1" type="noConversion"/>
  </si>
  <si>
    <t>昨日外資買賣超</t>
    <phoneticPr fontId="1" type="noConversion"/>
  </si>
  <si>
    <t>昨日投信買賣超</t>
    <phoneticPr fontId="1" type="noConversion"/>
  </si>
  <si>
    <t>經濟：重點新聞標題</t>
  </si>
  <si>
    <t>經濟：個股新聞標題：</t>
    <phoneticPr fontId="1" type="noConversion"/>
  </si>
  <si>
    <t xml:space="preserve">■ 登入 ■ MY DIGITIMES  228■ 中文简体版   ■ English </t>
  </si>
  <si>
    <t xml:space="preserve">星期二, 3月 8日, 2016 (台北)   </t>
  </si>
  <si>
    <t>洛克威爾</t>
  </si>
  <si>
    <t>RobertWalters</t>
  </si>
  <si>
    <t>2016年3月8出刊</t>
  </si>
  <si>
    <t>蘋果5.8吋AMOLED手機蓄勢待發 然推出時程變數多</t>
  </si>
  <si>
    <t>蘋果(Apple)智慧型手機可能採用AMOLED面板消息甚囂塵上，供應鏈業者透露，目前蘋果決定首款AMOLED手機將採用5.8吋螢幕，比現行最大的5.5吋面板尺寸還要大，且初...</t>
  </si>
  <si>
    <t>戴爾DT機構件大陸採購比重衝高 明年突破7成</t>
  </si>
  <si>
    <t>對於大陸供應鏈採購比重，目標2017年提高至70%以上，不僅藉此降低製造成本，亦有助於爭取大陸官方標案訂單，業者預期戴爾後續包括筆記型電腦(NB)與伺服器等產品機構件...</t>
  </si>
  <si>
    <t>Android旗艦手機晶片戰火趨烈 聯發科猛搶灘 高通頻傳捷報</t>
  </si>
  <si>
    <t>2016年上半Android旗艦智慧型手機市場仍是各家晶片廠兵家必爭之地，儘管聯發科積極搶灘中、高階手機晶片市場，三星電子(Samsung Electronics)與華為旗下海思有自家...</t>
  </si>
  <si>
    <t>－IT&amp;CE－</t>
  </si>
  <si>
    <t>NB品牌廠下單縮手 和碩專責團隊拉警報</t>
  </si>
  <si>
    <t>三星研發組織朝Slim、Speed、Smart方向調整</t>
  </si>
  <si>
    <t>印度IT製造業3年內可望新增10億美元投資</t>
  </si>
  <si>
    <t>遊戲機「PC化」或助於創造多贏格局</t>
  </si>
  <si>
    <t>任天堂遊戲新作大賣 整體業績卻仍無起色</t>
  </si>
  <si>
    <t>透過數位工具創造感官體驗成趨勢</t>
  </si>
  <si>
    <t>Halstead Property</t>
  </si>
  <si>
    <t>空中無人機限制多 歐洲業者測試地面機器人送貨</t>
  </si>
  <si>
    <t>AI服務利用用戶參與 以資料訓練系統精準度</t>
  </si>
  <si>
    <t>高通另闢新戰場 鎖定智慧穿戴、物聯網、車聯網應用</t>
  </si>
  <si>
    <t>紫光、TCL合建購併基金 恐啟動產業淘汰賽</t>
  </si>
  <si>
    <t>2017年中階手機有望採用14、16奈米製程AP</t>
  </si>
  <si>
    <t>需求差異化推動IC設計與製程轉型</t>
  </si>
  <si>
    <t>三星汽車電子事業 首務為研發相機感測器</t>
  </si>
  <si>
    <t>新奈米科技材料CNF可望藉東京奧運推廣</t>
  </si>
  <si>
    <t>供不應求狀況恐有鬆動 傳台系一線太陽能電池廠搶單</t>
  </si>
  <si>
    <t>人工光合作用技術可望應用於氫燃料生產</t>
  </si>
  <si>
    <t>－鴻夏戀布局影響－</t>
  </si>
  <si>
    <t>鴻海併夏普若正式簽約 後續流程將較美光收購爾必達簡易</t>
  </si>
  <si>
    <t>鴻夏戀能否成局 製造端緊盯</t>
  </si>
  <si>
    <t>鴻夏戀恐打進蘋果面板供應鏈 韓廠警戒</t>
  </si>
  <si>
    <t>2016年全球面板領域投資 將由大陸、南韓領頭帶動</t>
  </si>
  <si>
    <t>從專利一窺手機顯示器未來趨勢</t>
  </si>
  <si>
    <t>日TV市場2020年後4K機種將佔7成</t>
  </si>
  <si>
    <t>－網通－</t>
  </si>
  <si>
    <t>P.8</t>
  </si>
  <si>
    <t>日系手機廠再少一家 NEC解散手機事業子公司</t>
  </si>
  <si>
    <t>異質網路持續演進 Wi-Fi、LTE逐漸形成互補關係</t>
  </si>
  <si>
    <t>歐盟公布新數據傳輸協定 美國企業、情報機構存取數據遭嚴格管制</t>
  </si>
  <si>
    <t>Li-Fi技術可望改變蘋果生態系統面貌</t>
  </si>
  <si>
    <t>網路戰時代來臨 物聯網成防禦漏洞</t>
  </si>
  <si>
    <t>Sony推智能助理Xperia Agent 可望成為物聯網核心</t>
  </si>
  <si>
    <t>尋找更佳生活品質 科技人離開矽谷比率增</t>
  </si>
  <si>
    <t>全球製造業現疲態 經濟學家憂整體經濟前景</t>
  </si>
  <si>
    <t>地下金融網路發達 伊斯蘭國金脈難斷</t>
  </si>
  <si>
    <t>大陸加入TPP有利強化亞太地區智慧財產標準</t>
  </si>
  <si>
    <t>基因工程研發競賽 美、陸各擅勝場</t>
  </si>
  <si>
    <t>－英國脫歐風險－</t>
  </si>
  <si>
    <t>英國脫歐後的三大情境與經濟風險</t>
  </si>
  <si>
    <t>英國若脫歐 倫敦金融城地位恐不保</t>
  </si>
  <si>
    <t>賭盤顯示英國脫歐機率約3分之1</t>
  </si>
  <si>
    <t>大陸經濟減速 職業老外不再吃香</t>
  </si>
  <si>
    <t>日企業高層薪資偏低 不利延攬經營人才</t>
  </si>
  <si>
    <t>米蘭抗空污 補助通勤族騎單車上班</t>
  </si>
  <si>
    <t>大宗商品價格崩跌 非洲大陸湧現撤資潮</t>
  </si>
  <si>
    <t>提升企業成長動能 創意型管理者不可或缺</t>
  </si>
  <si>
    <t>陸農村隔代教養問題多 戶口制度是根源</t>
  </si>
  <si>
    <t>趨勢圖示：本世紀中期全球將有半數人口近視</t>
  </si>
  <si>
    <t>「樂金&amp;朋友們」能否找到海賊王寶藏？</t>
  </si>
  <si>
    <t>政府的為與不為 人才外流止血之關鍵</t>
  </si>
  <si>
    <t>DIGITIMES Research專欄：PPG心率感測技術市場價格滑落 但仍具重現價值機會</t>
  </si>
  <si>
    <t>Aerotech運動控制技術系列講座之二活動開跑</t>
  </si>
  <si>
    <t>IC封裝後熟化製程模擬利器有效預測翹曲變形</t>
  </si>
  <si>
    <t>ARM推出超節能處理器Cortex-A32</t>
  </si>
  <si>
    <t>是德科技於2016 MWC展出通訊設計與測試解決方案</t>
  </si>
  <si>
    <t>艾訊推出新型17吋擴充型工業級觸控平板電腦</t>
  </si>
  <si>
    <t>研華與眾夥伴推廣標準IoT平台M2.COM</t>
  </si>
  <si>
    <t>UL助馬達製造商進軍大陸市場(Web only)</t>
  </si>
  <si>
    <t>捷鼎發表旗艦級全快閃記憶體儲存陣列(Web only)</t>
  </si>
  <si>
    <t>愛德萬測試發表最新通用類比腳位模組AVI64(Web only)</t>
  </si>
  <si>
    <t>華航持續拓展航網 召募100位培訓機師(Web only)</t>
  </si>
  <si>
    <t>韓青秀</t>
  </si>
  <si>
    <t>微型投影時來運轉 衝破逆勢再覓新春天的啟示</t>
  </si>
  <si>
    <t>矽品總經理</t>
  </si>
  <si>
    <t>蔡祺文</t>
  </si>
  <si>
    <t>引進陸資不該被妖魔化</t>
  </si>
  <si>
    <t>郭台銘對太陽能的愛恨情仇 哪是夏普能消愁？</t>
  </si>
  <si>
    <t>趙凱期</t>
  </si>
  <si>
    <t>師法台積電、鴻海 聯發科2016年訂下翻身大計</t>
  </si>
  <si>
    <t>陳玉娟</t>
  </si>
  <si>
    <t>鴻夏戀白頭偕老？ 快慢分寸考驗鉅</t>
  </si>
  <si>
    <t>陳慧玲</t>
  </si>
  <si>
    <t>台灣有線電視市場開春不平靜 NCC只能壓住一時</t>
  </si>
  <si>
    <t>智富集</t>
  </si>
  <si>
    <t>蔡育仁</t>
  </si>
  <si>
    <t>掌握市場風潮布局專利 談曲面玻璃保護蓋「智」勝之道</t>
  </si>
  <si>
    <t>鴻夏戀布局影響</t>
  </si>
  <si>
    <t>英國脫歐風險</t>
  </si>
  <si>
    <t>萬物聯網新局</t>
  </si>
  <si>
    <t>3D列印時尚時裝</t>
  </si>
  <si>
    <t>MVNO蓬勃發展</t>
  </si>
  <si>
    <t>紫光放棄入主WD</t>
  </si>
  <si>
    <t>原油價格走向</t>
  </si>
  <si>
    <t>Google在RCS新進展</t>
  </si>
  <si>
    <t>IT服務和電動車商挺進綠能</t>
  </si>
  <si>
    <t>利凌</t>
  </si>
  <si>
    <t>本世紀中期全球將有半數人口近視</t>
  </si>
  <si>
    <t>資料經濟時代，商務模式的重新詮釋與應用3/30 Big Data論壇登場！</t>
  </si>
  <si>
    <t>陸新股發行註冊制 今年難上路</t>
  </si>
  <si>
    <r>
      <t>04:10 點閱：</t>
    </r>
    <r>
      <rPr>
        <b/>
        <sz val="8"/>
        <color rgb="FF957DE0"/>
        <rFont val="Verdana"/>
        <family val="2"/>
      </rPr>
      <t>106</t>
    </r>
  </si>
  <si>
    <t>強哥提8重點工作 陸股風向</t>
  </si>
  <si>
    <r>
      <t>04:10 點閱：</t>
    </r>
    <r>
      <rPr>
        <b/>
        <sz val="8"/>
        <color rgb="FF957DE0"/>
        <rFont val="Verdana"/>
        <family val="2"/>
      </rPr>
      <t>119</t>
    </r>
  </si>
  <si>
    <t>旺報觀點－轉型升級 台商求生之道</t>
  </si>
  <si>
    <r>
      <t>04:10 點閱：</t>
    </r>
    <r>
      <rPr>
        <b/>
        <sz val="8"/>
        <color rgb="FF957DE0"/>
        <rFont val="Verdana"/>
        <family val="2"/>
      </rPr>
      <t>62</t>
    </r>
  </si>
  <si>
    <t>上海工資可望上漲 影響台商徵才</t>
  </si>
  <si>
    <r>
      <t>04:10 點閱：</t>
    </r>
    <r>
      <rPr>
        <b/>
        <sz val="8"/>
        <color rgb="FF957DE0"/>
        <rFont val="Verdana"/>
        <family val="2"/>
      </rPr>
      <t>109</t>
    </r>
  </si>
  <si>
    <t>上海常住人口 40年來首衰退</t>
  </si>
  <si>
    <r>
      <t>04:10 點閱：</t>
    </r>
    <r>
      <rPr>
        <b/>
        <sz val="8"/>
        <color rgb="FF957DE0"/>
        <rFont val="Verdana"/>
        <family val="2"/>
      </rPr>
      <t>125</t>
    </r>
  </si>
  <si>
    <t>阿里借道港資登台 涉國安遭砲轟</t>
  </si>
  <si>
    <r>
      <t>04:10 點閱：</t>
    </r>
    <r>
      <rPr>
        <b/>
        <sz val="8"/>
        <color rgb="FF957DE0"/>
        <rFont val="Verdana"/>
        <family val="2"/>
      </rPr>
      <t>405</t>
    </r>
  </si>
  <si>
    <t>Google Play返陸 手遊業盼越快越好</t>
  </si>
  <si>
    <r>
      <t>04:10 點閱：</t>
    </r>
    <r>
      <rPr>
        <b/>
        <sz val="8"/>
        <color rgb="FF957DE0"/>
        <rFont val="Verdana"/>
        <family val="2"/>
      </rPr>
      <t>169</t>
    </r>
  </si>
  <si>
    <t>小米IPO 雷軍說順勢而為不強求</t>
  </si>
  <si>
    <r>
      <t>04:10 點閱：</t>
    </r>
    <r>
      <rPr>
        <b/>
        <sz val="8"/>
        <color rgb="FF957DE0"/>
        <rFont val="Verdana"/>
        <family val="2"/>
      </rPr>
      <t>115</t>
    </r>
  </si>
  <si>
    <t>陸經濟幾近觸底 去產能為關鍵</t>
  </si>
  <si>
    <r>
      <t>04:10 點閱：</t>
    </r>
    <r>
      <rPr>
        <b/>
        <sz val="8"/>
        <color rgb="FF957DE0"/>
        <rFont val="Verdana"/>
        <family val="2"/>
      </rPr>
      <t>213</t>
    </r>
  </si>
  <si>
    <t>人行表態 陸不會實施負利率</t>
  </si>
  <si>
    <t>產業打世界盃 政府政策需助攻</t>
  </si>
  <si>
    <r>
      <t>04:10 點閱：</t>
    </r>
    <r>
      <rPr>
        <b/>
        <sz val="8"/>
        <color rgb="FF957DE0"/>
        <rFont val="Verdana"/>
        <family val="2"/>
      </rPr>
      <t>61</t>
    </r>
  </si>
  <si>
    <t>大陸海外併購對全球的影響</t>
  </si>
  <si>
    <r>
      <t>04:10 點閱：</t>
    </r>
    <r>
      <rPr>
        <b/>
        <sz val="8"/>
        <color rgb="FF957DE0"/>
        <rFont val="Verdana"/>
        <family val="2"/>
      </rPr>
      <t>347</t>
    </r>
  </si>
  <si>
    <t>春燕未到 台PMI、NMI雙創新低</t>
  </si>
  <si>
    <r>
      <t>04:10 點閱：</t>
    </r>
    <r>
      <rPr>
        <b/>
        <sz val="8"/>
        <color rgb="FF957DE0"/>
        <rFont val="Verdana"/>
        <family val="2"/>
      </rPr>
      <t>117</t>
    </r>
  </si>
  <si>
    <t>東南亞搶訂單 陸傳產外貿過冬</t>
  </si>
  <si>
    <r>
      <t>04:10 點閱：</t>
    </r>
    <r>
      <rPr>
        <b/>
        <sz val="8"/>
        <color rgb="FF957DE0"/>
        <rFont val="Verdana"/>
        <family val="2"/>
      </rPr>
      <t>137</t>
    </r>
  </si>
  <si>
    <t>旺報觀點－Q3出口轉正 變數仍多</t>
  </si>
  <si>
    <r>
      <t>04:10 點閱：</t>
    </r>
    <r>
      <rPr>
        <b/>
        <sz val="8"/>
        <color rgb="FF957DE0"/>
        <rFont val="Verdana"/>
        <family val="2"/>
      </rPr>
      <t>59</t>
    </r>
  </si>
  <si>
    <t>台出口13黑 陸港占比創1年低</t>
  </si>
  <si>
    <r>
      <t>04:10 點閱：</t>
    </r>
    <r>
      <rPr>
        <b/>
        <sz val="8"/>
        <color rgb="FF957DE0"/>
        <rFont val="Verdana"/>
        <family val="2"/>
      </rPr>
      <t>123</t>
    </r>
  </si>
  <si>
    <t>台南晶英 春季首推「熊好睡」專案</t>
  </si>
  <si>
    <r>
      <t>04:10 點閱：</t>
    </r>
    <r>
      <rPr>
        <b/>
        <sz val="8"/>
        <color rgb="FF957DE0"/>
        <rFont val="Verdana"/>
        <family val="2"/>
      </rPr>
      <t>97</t>
    </r>
  </si>
  <si>
    <t>宏佳騰猴年大進化 回饋計畫再升級</t>
  </si>
  <si>
    <r>
      <t>04:10 點閱：</t>
    </r>
    <r>
      <rPr>
        <b/>
        <sz val="8"/>
        <color rgb="FF957DE0"/>
        <rFont val="Verdana"/>
        <family val="2"/>
      </rPr>
      <t>86</t>
    </r>
  </si>
  <si>
    <t>超值建案 日月光國際飯店集團與您分享</t>
  </si>
  <si>
    <r>
      <t>04:10 點閱：</t>
    </r>
    <r>
      <rPr>
        <b/>
        <sz val="8"/>
        <color rgb="FF957DE0"/>
        <rFont val="Verdana"/>
        <family val="2"/>
      </rPr>
      <t>118</t>
    </r>
  </si>
  <si>
    <t>2016廈門工博會 展現四大亮點</t>
  </si>
  <si>
    <r>
      <t>04:10 點閱：</t>
    </r>
    <r>
      <rPr>
        <b/>
        <sz val="8"/>
        <color rgb="FF957DE0"/>
        <rFont val="Verdana"/>
        <family val="2"/>
      </rPr>
      <t>102</t>
    </r>
  </si>
  <si>
    <t>日立贊助自由車環台 為台灣選手加油</t>
  </si>
  <si>
    <r>
      <t>04:10 點閱：</t>
    </r>
    <r>
      <rPr>
        <b/>
        <sz val="8"/>
        <color rgb="FF957DE0"/>
        <rFont val="Verdana"/>
        <family val="2"/>
      </rPr>
      <t>35</t>
    </r>
  </si>
  <si>
    <t>讀‧者‧大‧聲‧說－錢藏床底下</t>
  </si>
  <si>
    <r>
      <t>04:10 點閱：</t>
    </r>
    <r>
      <rPr>
        <b/>
        <sz val="8"/>
        <color rgb="FF957DE0"/>
        <rFont val="Verdana"/>
        <family val="2"/>
      </rPr>
      <t>238</t>
    </r>
  </si>
  <si>
    <t>編‧輯‧室‧報‧告－小英的統計作業</t>
  </si>
  <si>
    <r>
      <t>04:10 點閱：</t>
    </r>
    <r>
      <rPr>
        <b/>
        <sz val="8"/>
        <color rgb="FF957DE0"/>
        <rFont val="Verdana"/>
        <family val="2"/>
      </rPr>
      <t>440</t>
    </r>
  </si>
  <si>
    <t>觀念平台－鼓勵民間投資長照產業</t>
  </si>
  <si>
    <r>
      <t>04:10 點閱：</t>
    </r>
    <r>
      <rPr>
        <b/>
        <sz val="8"/>
        <color rgb="FF957DE0"/>
        <rFont val="Verdana"/>
        <family val="2"/>
      </rPr>
      <t>339</t>
    </r>
  </si>
  <si>
    <t>專家傳真－從G20／OECD公司治理原則 看日月光矽品攻防戰</t>
  </si>
  <si>
    <r>
      <t>04:10 點閱：</t>
    </r>
    <r>
      <rPr>
        <b/>
        <sz val="8"/>
        <color rgb="FF957DE0"/>
        <rFont val="Verdana"/>
        <family val="2"/>
      </rPr>
      <t>327</t>
    </r>
  </si>
  <si>
    <t>專家傳真－打造台灣成為智慧衣新王國</t>
  </si>
  <si>
    <r>
      <t>04:10 點閱：</t>
    </r>
    <r>
      <rPr>
        <b/>
        <sz val="8"/>
        <color rgb="FF957DE0"/>
        <rFont val="Verdana"/>
        <family val="2"/>
      </rPr>
      <t>352</t>
    </r>
  </si>
  <si>
    <t>元月來台陸客 不減反增</t>
  </si>
  <si>
    <r>
      <t>04:10 點閱：</t>
    </r>
    <r>
      <rPr>
        <b/>
        <sz val="8"/>
        <color rgb="FF957DE0"/>
        <rFont val="Verdana"/>
        <family val="2"/>
      </rPr>
      <t>509</t>
    </r>
  </si>
  <si>
    <t>退休計畫 準退休女性 逾半財務有信心</t>
  </si>
  <si>
    <r>
      <t>04:10 點閱：</t>
    </r>
    <r>
      <rPr>
        <b/>
        <sz val="8"/>
        <color rgb="FF957DE0"/>
        <rFont val="Verdana"/>
        <family val="2"/>
      </rPr>
      <t>318</t>
    </r>
  </si>
  <si>
    <t>職涯規畫 Y世代粉領族 7成想外派</t>
  </si>
  <si>
    <r>
      <t>04:10 點閱：</t>
    </r>
    <r>
      <rPr>
        <b/>
        <sz val="8"/>
        <color rgb="FF957DE0"/>
        <rFont val="Verdana"/>
        <family val="2"/>
      </rPr>
      <t>153</t>
    </r>
  </si>
  <si>
    <t>女性45％有大專學歷 超越男性</t>
  </si>
  <si>
    <r>
      <t>04:10 點閱：</t>
    </r>
    <r>
      <rPr>
        <b/>
        <sz val="8"/>
        <color rgb="FF957DE0"/>
        <rFont val="Verdana"/>
        <family val="2"/>
      </rPr>
      <t>268</t>
    </r>
  </si>
  <si>
    <t xml:space="preserve">原油崩盤告終？OPEC喊看50美元 </t>
  </si>
  <si>
    <t>以下為國際財經媒體頭條要聞： 《路透》油價預言帝:年底有望重返50美元 曾經成功預測2014年油價暴跌的研究機構PIRA能源集團創辦人羅斯(Gary Ross)周一表示，OPEC主要產油國正在私下討論50美元油價平衡點，這是原油市場漫長劇烈動盪即將結束的新跡象，隨著OPEC主要產油國開始減產，油價年底有望回升至每桶50美元，這將成為全球新的油價基準。 《路透》軟銀擬一分為二 國內外業務分離 日本軟銀公司周一宣布，計畫將公司一分為二，一家專注國內業務，一家專注海外業務，預計今年年底完成分拆。 《CNBC》布蘭特原油重返40美元 國際油價周一持續反彈，倫敦布蘭特原油期貨盤中大漲近5%，來到每桶40.64美元，創去年12月初以來新高；美國西德州原油期貨上漲4.5%，至37.54美元。 《CNBC》美國百萬富翁家庭數量創歷史新高 美國市場研究與諮詢公司Spectrem Group的最新報告顯示，2015年美國新增30萬個百萬富翁家庭，淨資產百萬美元以上家庭數量達1040萬個，創下歷史新高。 《金融時報》中國外匯數據顯示資本外流減緩 中國央行周一公布的數據顯示，中國2月外匯儲備下降290億美元，至3.2兆美元，創八個月最小降幅，顯示中國資本外流情況有所緩解。 《金融時報》鐵礦砂價格創單日最大漲幅 鐵礦砂價格周一飆升近20%，創下有史以來最大單日漲幅，若漲勢延續，全球礦業龍頭可望增加數十億美元的利潤。不過分析師警告，中國鋼鐵需求的長期減速趨勢並未改變，意味著鐵礦砂價格反彈可能只是暫時的。 《華爾街日報》螞蟻金服擬融資200億人民幣 公司估值近500億美元 根據華爾街日報報導，知情人士指出，阿里巴巴集團的螞蟻金服計畫融資200億元人民幣，這使其估值接近500億美元。本輪融資預計將於4月中旬完成。此外，此輪融資還為螞蟻金服IPO奠定了基礎。銀行家們預計，螞蟻金服最早可能在2017年公開上市。 《彭博》華爾街去年人均獎金下降9% 紐約州審計長Thomas dinapoli周一發布報告顯示，由於金融市場動盪影響投行盈利，2015年華爾街人均獎金，下降9%至146200美元。</t>
  </si>
  <si>
    <t>油價續彈！美股收漲67點 連5紅</t>
  </si>
  <si>
    <t>兆豐銀驚爆遭騙 蔡友才震怒辦人 200萬美元偽鈔詐騙案</t>
  </si>
  <si>
    <t>汽車零組件 2月營收暴衝</t>
  </si>
  <si>
    <t>油價漲 美股周一走勢疲弱</t>
  </si>
  <si>
    <t>國際油價 挺進40美元</t>
  </si>
  <si>
    <t>社論－不宜樂觀看待股匯市的非理性繁榮</t>
  </si>
  <si>
    <t>《熱門族群》2月營收優預期，F-IET、穩懋開高</t>
  </si>
  <si>
    <r>
      <t>10:46 點閱：</t>
    </r>
    <r>
      <rPr>
        <b/>
        <sz val="8"/>
        <color rgb="FF957DE0"/>
        <rFont val="Verdana"/>
        <family val="2"/>
      </rPr>
      <t>14</t>
    </r>
  </si>
  <si>
    <t>《電腦設備》誠研家用熱昇華印相機，今年銷售估10萬台</t>
  </si>
  <si>
    <r>
      <t>10:39 點閱：</t>
    </r>
    <r>
      <rPr>
        <b/>
        <sz val="8"/>
        <color rgb="FF957DE0"/>
        <rFont val="Verdana"/>
        <family val="2"/>
      </rPr>
      <t>22</t>
    </r>
  </si>
  <si>
    <t>《百貨股》得易Ponta累點，攜手有線電視</t>
  </si>
  <si>
    <r>
      <t>10:36 點閱：</t>
    </r>
    <r>
      <rPr>
        <b/>
        <sz val="8"/>
        <color rgb="FF957DE0"/>
        <rFont val="Verdana"/>
        <family val="2"/>
      </rPr>
      <t>18</t>
    </r>
  </si>
  <si>
    <t>《業績-觀光》F-大略2月營收年增25.94％，營運看俏</t>
  </si>
  <si>
    <r>
      <t>10:26 點閱：</t>
    </r>
    <r>
      <rPr>
        <b/>
        <sz val="8"/>
        <color rgb="FF957DE0"/>
        <rFont val="Verdana"/>
        <family val="2"/>
      </rPr>
      <t>15</t>
    </r>
  </si>
  <si>
    <t>《業績-觀光》F-大略去年EPS 5.09元，擬派利4元</t>
  </si>
  <si>
    <t>《航運股》漢翔推動A-Team 4.0，北中南開9場說明會</t>
  </si>
  <si>
    <r>
      <t>10:16 點閱：</t>
    </r>
    <r>
      <rPr>
        <b/>
        <sz val="8"/>
        <color rgb="FF957DE0"/>
        <rFont val="Verdana"/>
        <family val="2"/>
      </rPr>
      <t>38</t>
    </r>
  </si>
  <si>
    <t>《類股》獲利了結，鋼鐵股承壓</t>
  </si>
  <si>
    <r>
      <t>10:16 點閱：</t>
    </r>
    <r>
      <rPr>
        <b/>
        <sz val="8"/>
        <color rgb="FF957DE0"/>
        <rFont val="Verdana"/>
        <family val="2"/>
      </rPr>
      <t>63</t>
    </r>
  </si>
  <si>
    <t>《台北股市》盤中焦點股：F-TPK、晶采、宏達電、東鹼、雄獅</t>
  </si>
  <si>
    <r>
      <t>09:57 點閱：</t>
    </r>
    <r>
      <rPr>
        <b/>
        <sz val="8"/>
        <color rgb="FF957DE0"/>
        <rFont val="Verdana"/>
        <family val="2"/>
      </rPr>
      <t>74</t>
    </r>
  </si>
  <si>
    <t>《通信網路》賣壓出籠，宏達電百元得而復失</t>
  </si>
  <si>
    <r>
      <t>09:46 點閱：</t>
    </r>
    <r>
      <rPr>
        <b/>
        <sz val="8"/>
        <color rgb="FF957DE0"/>
        <rFont val="Verdana"/>
        <family val="2"/>
      </rPr>
      <t>43</t>
    </r>
  </si>
  <si>
    <t>《業績-其他》F-波力2月營收彈升，大啖冰雪運動商機</t>
  </si>
  <si>
    <r>
      <t>09:46 點閱：</t>
    </r>
    <r>
      <rPr>
        <b/>
        <sz val="8"/>
        <color rgb="FF957DE0"/>
        <rFont val="Verdana"/>
        <family val="2"/>
      </rPr>
      <t>38</t>
    </r>
  </si>
  <si>
    <t>《生醫股》懷特痛寶完成解盲，將儘速向TFDA申請藥證</t>
  </si>
  <si>
    <r>
      <t>09:46 點閱：</t>
    </r>
    <r>
      <rPr>
        <b/>
        <sz val="8"/>
        <color rgb="FF957DE0"/>
        <rFont val="Verdana"/>
        <family val="2"/>
      </rPr>
      <t>136</t>
    </r>
  </si>
  <si>
    <t>《業績-半導體》漢微科2月營收滑落，估3月回溫</t>
  </si>
  <si>
    <r>
      <t>09:36 點閱：</t>
    </r>
    <r>
      <rPr>
        <b/>
        <sz val="8"/>
        <color rgb="FF957DE0"/>
        <rFont val="Verdana"/>
        <family val="2"/>
      </rPr>
      <t>26</t>
    </r>
  </si>
  <si>
    <t>《金融股》台灣人壽、中信銀合推6年期還本終身保險</t>
  </si>
  <si>
    <r>
      <t>09:26 點閱：</t>
    </r>
    <r>
      <rPr>
        <b/>
        <sz val="8"/>
        <color rgb="FF957DE0"/>
        <rFont val="Verdana"/>
        <family val="2"/>
      </rPr>
      <t>156</t>
    </r>
  </si>
  <si>
    <t>《業績-半導體》華邦電、旺宏2月營收年增，相對有撐</t>
  </si>
  <si>
    <r>
      <t>09:16 點閱：</t>
    </r>
    <r>
      <rPr>
        <b/>
        <sz val="8"/>
        <color rgb="FF957DE0"/>
        <rFont val="Verdana"/>
        <family val="2"/>
      </rPr>
      <t>83</t>
    </r>
  </si>
  <si>
    <t>《台北股市》郭明錤：新品發表創新不足，保守看蘋果派</t>
  </si>
  <si>
    <r>
      <t>09:06 點閱：</t>
    </r>
    <r>
      <rPr>
        <b/>
        <sz val="8"/>
        <color rgb="FF957DE0"/>
        <rFont val="Verdana"/>
        <family val="2"/>
      </rPr>
      <t>43</t>
    </r>
  </si>
  <si>
    <t>《業績-半導體》聯發科2月營收創1年谷底，3月挑戰1月高峰</t>
  </si>
  <si>
    <r>
      <t>09:06 點閱：</t>
    </r>
    <r>
      <rPr>
        <b/>
        <sz val="8"/>
        <color rgb="FF957DE0"/>
        <rFont val="Verdana"/>
        <family val="2"/>
      </rPr>
      <t>39</t>
    </r>
  </si>
  <si>
    <t>《期貨》3月台指期、金融期及電子期齊開高</t>
  </si>
  <si>
    <r>
      <t>08:56 點閱：</t>
    </r>
    <r>
      <rPr>
        <b/>
        <sz val="8"/>
        <color rgb="FF957DE0"/>
        <rFont val="Verdana"/>
        <family val="2"/>
      </rPr>
      <t>45</t>
    </r>
  </si>
  <si>
    <t>《業績-電子零件》鉅橡2月營收持平，今年審慎樂觀</t>
  </si>
  <si>
    <r>
      <t>08:56 點閱：</t>
    </r>
    <r>
      <rPr>
        <b/>
        <sz val="8"/>
        <color rgb="FF957DE0"/>
        <rFont val="Verdana"/>
        <family val="2"/>
      </rPr>
      <t>22</t>
    </r>
  </si>
  <si>
    <t>《業績-電纜》F-艾美2月營收年增37％，Q2旺季可期</t>
  </si>
  <si>
    <r>
      <t>08:48 點閱：</t>
    </r>
    <r>
      <rPr>
        <b/>
        <sz val="8"/>
        <color rgb="FF957DE0"/>
        <rFont val="Verdana"/>
        <family val="2"/>
      </rPr>
      <t>66</t>
    </r>
  </si>
  <si>
    <t>《業績-電子零件》亞電2月營收月減28.6％，3月可望回溫</t>
  </si>
  <si>
    <r>
      <t>08:17 點閱：</t>
    </r>
    <r>
      <rPr>
        <b/>
        <sz val="8"/>
        <color rgb="FF957DE0"/>
        <rFont val="Verdana"/>
        <family val="2"/>
      </rPr>
      <t>50</t>
    </r>
  </si>
  <si>
    <t>《店頭市場》世豐螺絲申請上興櫃</t>
  </si>
  <si>
    <r>
      <t>08:17 點閱：</t>
    </r>
    <r>
      <rPr>
        <b/>
        <sz val="8"/>
        <color rgb="FF957DE0"/>
        <rFont val="Verdana"/>
        <family val="2"/>
      </rPr>
      <t>64</t>
    </r>
  </si>
  <si>
    <t>《資訊服務》瞄準春遊、連假商機，夠麻吉營運續衝</t>
  </si>
  <si>
    <r>
      <t>08:16 點閱：</t>
    </r>
    <r>
      <rPr>
        <b/>
        <sz val="8"/>
        <color rgb="FF957DE0"/>
        <rFont val="Verdana"/>
        <family val="2"/>
      </rPr>
      <t>75</t>
    </r>
  </si>
  <si>
    <t>《業績-半導體》日月光2月營收年減7.03％，2年低點</t>
  </si>
  <si>
    <r>
      <t>08:16 點閱：</t>
    </r>
    <r>
      <rPr>
        <b/>
        <sz val="8"/>
        <color rgb="FF957DE0"/>
        <rFont val="Verdana"/>
        <family val="2"/>
      </rPr>
      <t>28</t>
    </r>
  </si>
  <si>
    <t>《業績-半導體》矽品2月營收年減3.56％，符合預期</t>
  </si>
  <si>
    <r>
      <t>08:16 點閱：</t>
    </r>
    <r>
      <rPr>
        <b/>
        <sz val="8"/>
        <color rgb="FF957DE0"/>
        <rFont val="Verdana"/>
        <family val="2"/>
      </rPr>
      <t>53</t>
    </r>
  </si>
  <si>
    <t>《業績-電機》智伸科2月營收年增3.69％</t>
  </si>
  <si>
    <r>
      <t>08:06 點閱：</t>
    </r>
    <r>
      <rPr>
        <b/>
        <sz val="8"/>
        <color rgb="FF957DE0"/>
        <rFont val="Verdana"/>
        <family val="2"/>
      </rPr>
      <t>65</t>
    </r>
  </si>
  <si>
    <t>《證交所》上周外資買超321.1億元</t>
  </si>
  <si>
    <r>
      <t>08:06 點閱：</t>
    </r>
    <r>
      <rPr>
        <b/>
        <sz val="8"/>
        <color rgb="FF957DE0"/>
        <rFont val="Verdana"/>
        <family val="2"/>
      </rPr>
      <t>34</t>
    </r>
  </si>
  <si>
    <t>《生醫股》翁啟惠代理人？浩鼎張念慈否認</t>
  </si>
  <si>
    <r>
      <t>08:06 點閱：</t>
    </r>
    <r>
      <rPr>
        <b/>
        <sz val="8"/>
        <color rgb="FF957DE0"/>
        <rFont val="Verdana"/>
        <family val="2"/>
      </rPr>
      <t>81</t>
    </r>
  </si>
  <si>
    <t>《證交所》證交所前進日本，為台股引資</t>
  </si>
  <si>
    <r>
      <t>08:06 點閱：</t>
    </r>
    <r>
      <rPr>
        <b/>
        <sz val="8"/>
        <color rgb="FF957DE0"/>
        <rFont val="Verdana"/>
        <family val="2"/>
      </rPr>
      <t>43</t>
    </r>
  </si>
  <si>
    <t>《油電燃氣》原油價格難回穩，曹明：供需失衡仍是痛處</t>
  </si>
  <si>
    <r>
      <t>08:06 點閱：</t>
    </r>
    <r>
      <rPr>
        <b/>
        <sz val="8"/>
        <color rgb="FF957DE0"/>
        <rFont val="Verdana"/>
        <family val="2"/>
      </rPr>
      <t>173</t>
    </r>
  </si>
  <si>
    <t>《業績-其他》F-綠悅2月營收微降，3月重回成長軌道</t>
  </si>
  <si>
    <r>
      <t>08:06 點閱：</t>
    </r>
    <r>
      <rPr>
        <b/>
        <sz val="8"/>
        <color rgb="FF957DE0"/>
        <rFont val="Verdana"/>
        <family val="2"/>
      </rPr>
      <t>62</t>
    </r>
  </si>
  <si>
    <t>《業績-通信網路》中磊2月營收年增逾5成，今年會比去年好</t>
  </si>
  <si>
    <r>
      <t>07:56 點閱：</t>
    </r>
    <r>
      <rPr>
        <b/>
        <sz val="8"/>
        <color rgb="FF957DE0"/>
        <rFont val="Verdana"/>
        <family val="2"/>
      </rPr>
      <t>221</t>
    </r>
  </si>
  <si>
    <t>權證星光大道－國票綜合證券 運動風潮盛 寶成業績俏</t>
  </si>
  <si>
    <r>
      <t>04:10 點閱：</t>
    </r>
    <r>
      <rPr>
        <b/>
        <sz val="8"/>
        <color rgb="FF957DE0"/>
        <rFont val="Verdana"/>
        <family val="2"/>
      </rPr>
      <t>96</t>
    </r>
  </si>
  <si>
    <t>權證星光大道－元富證券 車市成長 同致業績看好</t>
  </si>
  <si>
    <r>
      <t>04:10 點閱：</t>
    </r>
    <r>
      <rPr>
        <b/>
        <sz val="8"/>
        <color rgb="FF957DE0"/>
        <rFont val="Verdana"/>
        <family val="2"/>
      </rPr>
      <t>240</t>
    </r>
  </si>
  <si>
    <t>獲利報喜 光環、聯亞硬挺</t>
  </si>
  <si>
    <r>
      <t>04:10 點閱：</t>
    </r>
    <r>
      <rPr>
        <b/>
        <sz val="8"/>
        <color rgb="FF957DE0"/>
        <rFont val="Verdana"/>
        <family val="2"/>
      </rPr>
      <t>828</t>
    </r>
  </si>
  <si>
    <t>業績說明會登場 F-矽力、F-永冠認購夯</t>
  </si>
  <si>
    <r>
      <t>04:10 點閱：</t>
    </r>
    <r>
      <rPr>
        <b/>
        <sz val="8"/>
        <color rgb="FF957DE0"/>
        <rFont val="Verdana"/>
        <family val="2"/>
      </rPr>
      <t>223</t>
    </r>
  </si>
  <si>
    <t>突破盤整 南亞科、晶電權證當紅</t>
  </si>
  <si>
    <r>
      <t>04:10 點閱：</t>
    </r>
    <r>
      <rPr>
        <b/>
        <sz val="8"/>
        <color rgb="FF957DE0"/>
        <rFont val="Verdana"/>
        <family val="2"/>
      </rPr>
      <t>134</t>
    </r>
  </si>
  <si>
    <t>ETF期權贏家－FB上證 短線技術面強</t>
  </si>
  <si>
    <r>
      <t>04:10 點閱：</t>
    </r>
    <r>
      <rPr>
        <b/>
        <sz val="8"/>
        <color rgb="FF957DE0"/>
        <rFont val="Verdana"/>
        <family val="2"/>
      </rPr>
      <t>111</t>
    </r>
  </si>
  <si>
    <t>人民幣匯率期貨專家觀點－兩會期間 人民幣區間整理</t>
  </si>
  <si>
    <r>
      <t>04:10 點閱：</t>
    </r>
    <r>
      <rPr>
        <b/>
        <sz val="8"/>
        <color rgb="FF957DE0"/>
        <rFont val="Verdana"/>
        <family val="2"/>
      </rPr>
      <t>38</t>
    </r>
  </si>
  <si>
    <t>逆價差擴大 外資期權分歧</t>
  </si>
  <si>
    <r>
      <t>04:10 點閱：</t>
    </r>
    <r>
      <rPr>
        <b/>
        <sz val="8"/>
        <color rgb="FF957DE0"/>
        <rFont val="Verdana"/>
        <family val="2"/>
      </rPr>
      <t>143</t>
    </r>
  </si>
  <si>
    <t>明起揭示籌資資訊－瀚銘科技 深耕安全防護整合</t>
  </si>
  <si>
    <t>明起揭示籌資資訊－鴻曜醫學 專業細胞醫療技術</t>
  </si>
  <si>
    <r>
      <t>04:10 點閱：</t>
    </r>
    <r>
      <rPr>
        <b/>
        <sz val="8"/>
        <color rgb="FF957DE0"/>
        <rFont val="Verdana"/>
        <family val="2"/>
      </rPr>
      <t>203</t>
    </r>
  </si>
  <si>
    <t>投保中心：浩鼎案 全力配合</t>
  </si>
  <si>
    <r>
      <t>04:10 點閱：</t>
    </r>
    <r>
      <rPr>
        <b/>
        <sz val="8"/>
        <color rgb="FF957DE0"/>
        <rFont val="Verdana"/>
        <family val="2"/>
      </rPr>
      <t>290</t>
    </r>
  </si>
  <si>
    <t>穩懋 Q2拚歷史新高</t>
  </si>
  <si>
    <r>
      <t>04:10 點閱：</t>
    </r>
    <r>
      <rPr>
        <b/>
        <sz val="8"/>
        <color rgb="FF957DE0"/>
        <rFont val="Verdana"/>
        <family val="2"/>
      </rPr>
      <t>1835</t>
    </r>
  </si>
  <si>
    <t>熱門股－中電 營收看俏推升漲停</t>
  </si>
  <si>
    <r>
      <t>04:10 點閱：</t>
    </r>
    <r>
      <rPr>
        <b/>
        <sz val="8"/>
        <color rgb="FF957DE0"/>
        <rFont val="Verdana"/>
        <family val="2"/>
      </rPr>
      <t>723</t>
    </r>
  </si>
  <si>
    <t>熱門股－台橡 均線上揚短多強勢</t>
  </si>
  <si>
    <r>
      <t>04:10 點閱：</t>
    </r>
    <r>
      <rPr>
        <b/>
        <sz val="8"/>
        <color rgb="FF957DE0"/>
        <rFont val="Verdana"/>
        <family val="2"/>
      </rPr>
      <t>535</t>
    </r>
  </si>
  <si>
    <t>股市看板－達爾膚去年EPS 8.1元 股利8元</t>
  </si>
  <si>
    <r>
      <t>04:10 點閱：</t>
    </r>
    <r>
      <rPr>
        <b/>
        <sz val="8"/>
        <color rgb="FF957DE0"/>
        <rFont val="Verdana"/>
        <family val="2"/>
      </rPr>
      <t>953</t>
    </r>
  </si>
  <si>
    <t>股市看板－智伸科 營收連5個月成長</t>
  </si>
  <si>
    <r>
      <t>04:10 點閱：</t>
    </r>
    <r>
      <rPr>
        <b/>
        <sz val="8"/>
        <color rgb="FF957DE0"/>
        <rFont val="Verdana"/>
        <family val="2"/>
      </rPr>
      <t>931</t>
    </r>
  </si>
  <si>
    <t>股市看板－中菲行 2月海運運量年增37％</t>
  </si>
  <si>
    <r>
      <t>04:10 點閱：</t>
    </r>
    <r>
      <rPr>
        <b/>
        <sz val="8"/>
        <color rgb="FF957DE0"/>
        <rFont val="Verdana"/>
        <family val="2"/>
      </rPr>
      <t>283</t>
    </r>
  </si>
  <si>
    <t>孫鐵漢洩露股東名冊資訊 金智富：違反個資 公司治理不足</t>
  </si>
  <si>
    <r>
      <t>04:10 點閱：</t>
    </r>
    <r>
      <rPr>
        <b/>
        <sz val="8"/>
        <color rgb="FF957DE0"/>
        <rFont val="Verdana"/>
        <family val="2"/>
      </rPr>
      <t>963</t>
    </r>
  </si>
  <si>
    <t>雄獅 上月業績年增15.88％</t>
  </si>
  <si>
    <r>
      <t>04:10 點閱：</t>
    </r>
    <r>
      <rPr>
        <b/>
        <sz val="8"/>
        <color rgb="FF957DE0"/>
        <rFont val="Verdana"/>
        <family val="2"/>
      </rPr>
      <t>717</t>
    </r>
  </si>
  <si>
    <t>F-亞德2月營收 創同期次高</t>
  </si>
  <si>
    <r>
      <t>04:10 點閱：</t>
    </r>
    <r>
      <rPr>
        <b/>
        <sz val="8"/>
        <color rgb="FF957DE0"/>
        <rFont val="Verdana"/>
        <family val="2"/>
      </rPr>
      <t>647</t>
    </r>
  </si>
  <si>
    <t>雃博 取得德大廠SLK五成股權</t>
  </si>
  <si>
    <r>
      <t>04:10 點閱：</t>
    </r>
    <r>
      <rPr>
        <b/>
        <sz val="8"/>
        <color rgb="FF957DE0"/>
        <rFont val="Verdana"/>
        <family val="2"/>
      </rPr>
      <t>1131</t>
    </r>
  </si>
  <si>
    <t>豐興廢鋼、鋼筋 本周再漲價</t>
  </si>
  <si>
    <r>
      <t>04:10 點閱：</t>
    </r>
    <r>
      <rPr>
        <b/>
        <sz val="8"/>
        <color rgb="FF957DE0"/>
        <rFont val="Verdana"/>
        <family val="2"/>
      </rPr>
      <t>684</t>
    </r>
  </si>
  <si>
    <t>鎳價走揚 燁聯唐榮允強吃補</t>
  </si>
  <si>
    <r>
      <t>04:10 點閱：</t>
    </r>
    <r>
      <rPr>
        <b/>
        <sz val="8"/>
        <color rgb="FF957DE0"/>
        <rFont val="Verdana"/>
        <family val="2"/>
      </rPr>
      <t>874</t>
    </r>
  </si>
  <si>
    <t>熱門股－強茂 卡位陸太陽能商機</t>
  </si>
  <si>
    <r>
      <t>04:10 點閱：</t>
    </r>
    <r>
      <rPr>
        <b/>
        <sz val="8"/>
        <color rgb="FF957DE0"/>
        <rFont val="Verdana"/>
        <family val="2"/>
      </rPr>
      <t>700</t>
    </r>
  </si>
  <si>
    <t>熱門股－光洋科 貴金屬銷售前景佳</t>
  </si>
  <si>
    <r>
      <t>04:10 點閱：</t>
    </r>
    <r>
      <rPr>
        <b/>
        <sz val="8"/>
        <color rgb="FF957DE0"/>
        <rFont val="Verdana"/>
        <family val="2"/>
      </rPr>
      <t>830</t>
    </r>
  </si>
  <si>
    <t>富喬 Q2起動能看升</t>
  </si>
  <si>
    <r>
      <t>04:10 點閱：</t>
    </r>
    <r>
      <rPr>
        <b/>
        <sz val="8"/>
        <color rgb="FF957DE0"/>
        <rFont val="Verdana"/>
        <family val="2"/>
      </rPr>
      <t>710</t>
    </r>
  </si>
  <si>
    <t>誠研新款印相機 衝10萬銷量</t>
  </si>
  <si>
    <r>
      <t>04:10 點閱：</t>
    </r>
    <r>
      <rPr>
        <b/>
        <sz val="8"/>
        <color rgb="FF957DE0"/>
        <rFont val="Verdana"/>
        <family val="2"/>
      </rPr>
      <t>558</t>
    </r>
  </si>
  <si>
    <t>守住獲利 隆達發放股利0.625元</t>
  </si>
  <si>
    <r>
      <t>04:10 點閱：</t>
    </r>
    <r>
      <rPr>
        <b/>
        <sz val="8"/>
        <color rgb="FF957DE0"/>
        <rFont val="Verdana"/>
        <family val="2"/>
      </rPr>
      <t>537</t>
    </r>
  </si>
  <si>
    <t>蘋果光黯淡 瑞儀、F-GIS 2月營收齊降</t>
  </si>
  <si>
    <r>
      <t>04:10 點閱：</t>
    </r>
    <r>
      <rPr>
        <b/>
        <sz val="8"/>
        <color rgb="FF957DE0"/>
        <rFont val="Verdana"/>
        <family val="2"/>
      </rPr>
      <t>1417</t>
    </r>
  </si>
  <si>
    <r>
      <t>熱門：</t>
    </r>
    <r>
      <rPr>
        <sz val="8"/>
        <color rgb="FF0054A6"/>
        <rFont val="Helvetica"/>
        <family val="2"/>
      </rPr>
      <t>憲兵搜索</t>
    </r>
    <r>
      <rPr>
        <sz val="8"/>
        <color rgb="FFD64937"/>
        <rFont val="Helvetica"/>
        <family val="2"/>
      </rPr>
      <t>17歲女總裁</t>
    </r>
    <r>
      <rPr>
        <sz val="8"/>
        <color rgb="FF0054A6"/>
        <rFont val="Helvetica"/>
        <family val="2"/>
      </rPr>
      <t>八仙結痂週記</t>
    </r>
  </si>
  <si>
    <t>婦女節送禮 國民黨立委提案「產假延到14周」 10:56</t>
  </si>
  <si>
    <t>台船新船「阪神輪」 擲瓶下水</t>
  </si>
  <si>
    <t>醫材只能進口…兄弟創台灣品牌</t>
  </si>
  <si>
    <t>走了7年 台灣文心蘭 盆花輸美</t>
  </si>
  <si>
    <t>全球唯一 台灣文心蘭盆花輸美</t>
  </si>
  <si>
    <t>台灣國際蘭展 猴面蘭新嬌點</t>
  </si>
  <si>
    <t>「御莊園」停工 遠雄提行政救濟</t>
  </si>
  <si>
    <t>圓夢計畫／心之所向 義無反顧</t>
  </si>
  <si>
    <t>經濟書坊／動機對了…創新動能就來了</t>
  </si>
  <si>
    <t>管理講堂／嚴格自律 慎始善終</t>
  </si>
  <si>
    <t>策略經營／華為女皇孫亞芳 狼性行銷打天下</t>
  </si>
  <si>
    <t>快訊／民雄所聽取建言 25日辦與民有約</t>
  </si>
  <si>
    <t>問答／首報族稅額試算 15日前網路申請</t>
  </si>
  <si>
    <t>列報匯損 「實現」才適用</t>
  </si>
  <si>
    <t>雲林土石特別稅 開徵</t>
  </si>
  <si>
    <t>營業稅選案查核 下月啟動</t>
  </si>
  <si>
    <t>矽品批對手 不符入隊資格</t>
  </si>
  <si>
    <t>日月光回應 非為經營權</t>
  </si>
  <si>
    <t>矽品：國家隊不能只有一隊</t>
  </si>
  <si>
    <t>資通協會 促設終端設備鏈</t>
  </si>
  <si>
    <t>行動網路大會 5G大咖齊聚</t>
  </si>
  <si>
    <t>竹科集福宮 香火鼎盛</t>
  </si>
  <si>
    <t>台塑四寶看旺Q2 營運將回升</t>
  </si>
  <si>
    <t>何壽川 申讓2萬張永豐金股</t>
  </si>
  <si>
    <t>健保卡線上開戶 將放行</t>
  </si>
  <si>
    <t>券商促降當沖交易稅率</t>
  </si>
  <si>
    <t>掌握趨勢 臺銀邁向四個目標</t>
  </si>
  <si>
    <t>臺銀營運 要再創高峰</t>
  </si>
  <si>
    <t>未成年人身故給付 拚鬆綁</t>
  </si>
  <si>
    <t>壽險投入公建 盼固定地價漲幅</t>
  </si>
  <si>
    <t>TRF風險 金管會將全面清查</t>
  </si>
  <si>
    <t>名家觀點／別讓大數據變玄學</t>
  </si>
  <si>
    <t>2月PMI大跌 跌幅創新高</t>
  </si>
  <si>
    <t>貿局：邀更多買主來採購</t>
  </si>
  <si>
    <t>對歐洲輸出 緩中趨穩</t>
  </si>
  <si>
    <t>2月出口再陷衰退 低迷將超越海嘯時期</t>
  </si>
  <si>
    <t>連13黑！ 出口連9個月雙位數衰退</t>
  </si>
  <si>
    <t>浩鼎案 金管會追最終受益人</t>
  </si>
  <si>
    <t>二手iPhone 要賣進印度</t>
  </si>
  <si>
    <t>鴻海將併康達智 鏡頭廠緊張</t>
  </si>
  <si>
    <t>郭台銘赴曼谷 出席夏普會議</t>
  </si>
  <si>
    <t>鴻夏好事「就在本周」？</t>
  </si>
  <si>
    <t>「不符文化」 台塑越廠蓋土地公廟受阻</t>
  </si>
  <si>
    <t>廢鋼連動 跟著一起漲</t>
  </si>
  <si>
    <t>鋼市回春 產能過剩陰影未散</t>
  </si>
  <si>
    <t>花旗、滙豐 縮減傳統據點</t>
  </si>
  <si>
    <t>國銀智慧服務 各出奇招</t>
  </si>
  <si>
    <t>玉山銀兩路並進 發揮乘數效果</t>
  </si>
  <si>
    <t>玉山數位分行 機器人坐鎮</t>
  </si>
  <si>
    <t>財經觀點／金融科技專利 我末段班</t>
  </si>
  <si>
    <t>10年期債吸金 殖利率創新低</t>
  </si>
  <si>
    <t>我實質利率高 吸引外資匯入</t>
  </si>
  <si>
    <t>央行戰熱錢 台幣力守33元</t>
  </si>
  <si>
    <t>翁啟惠代理人？張念慈否認：持股公開</t>
  </si>
  <si>
    <t>費鴻泰爆料：張念慈 是翁啟惠浩鼎代理人</t>
  </si>
  <si>
    <t>澄清未炒股 中研院：翁啟惠沒台灣生技股票</t>
  </si>
  <si>
    <t>提四大質疑 曾銘宗：翁啟惠背書不當</t>
  </si>
  <si>
    <t>與鴻海成親在望 夏普大漲</t>
  </si>
  <si>
    <t>鴻夏戀升溫！郭董赴曼谷 參加夏普會議</t>
  </si>
  <si>
    <t>PMI意外大跌 出口連13黑</t>
  </si>
  <si>
    <t>燦坤、全國電穩業績 本月拚優惠衝買氣</t>
  </si>
  <si>
    <t>十三五概念股 有看頭</t>
  </si>
  <si>
    <t>證交所 在等鴻海「掀牌」</t>
  </si>
  <si>
    <t>生技股疲倦 基亞、東洋翻黑</t>
  </si>
  <si>
    <t>宏達電軋空 股價挑戰百元</t>
  </si>
  <si>
    <t>漢微科營收 大減76％</t>
  </si>
  <si>
    <t>雄獅搶陸客商機 大突破</t>
  </si>
  <si>
    <t>鴻海若開董事會 股票須暫停交易</t>
  </si>
  <si>
    <t>台股連七紅 避險部位激增</t>
  </si>
  <si>
    <t>投顧看後市：台股收復年線不是夢</t>
  </si>
  <si>
    <t>聯發科2月營收 減37％</t>
  </si>
  <si>
    <t>瑞昱月減30% 創8個月新低</t>
  </si>
  <si>
    <t>新日興 去年每股賺9.02元</t>
  </si>
  <si>
    <t>日月光矽品 下探兩年低點</t>
  </si>
  <si>
    <t>IC設計 僅信驊、晶宏較佳</t>
  </si>
  <si>
    <t>緯創廣達 外資喊買</t>
  </si>
  <si>
    <t>陸股強彈 正向ETF紅火</t>
  </si>
  <si>
    <t>富喬1.04元 大增逾六倍</t>
  </si>
  <si>
    <t>業績成長族群 打聚光燈</t>
  </si>
  <si>
    <t>中國綠能車商機 長園科業績看旺</t>
  </si>
  <si>
    <t>記憶體晶片廠 全衰退</t>
  </si>
  <si>
    <t>茂迪 去年每股虧1.37元</t>
  </si>
  <si>
    <t>友達 股價午盤後翻黑</t>
  </si>
  <si>
    <t>聯詠-22％ Q2回神</t>
  </si>
  <si>
    <t>證交所3/14起 6場F公司說明會</t>
  </si>
  <si>
    <t>黑松販賣機 主打行動支付</t>
  </si>
  <si>
    <t>F-英利今年EPS 法人：挑戰12元</t>
  </si>
  <si>
    <t>F-臻鼎 3月營運可望回溫</t>
  </si>
  <si>
    <t>雙鏡頭概念認購 亮</t>
  </si>
  <si>
    <t>亞泰發紅包 將配息2.65元</t>
  </si>
  <si>
    <t>興富發 挑價內外15％</t>
  </si>
  <si>
    <t>達方獲利飆 配息2元</t>
  </si>
  <si>
    <t>雙塔話題 帶旺運動股</t>
  </si>
  <si>
    <t>上月業績／光環-19％ 出貨持穩</t>
  </si>
  <si>
    <t>法人：立積今年雙位數成長</t>
  </si>
  <si>
    <t>創意+69％ 智原-14％</t>
  </si>
  <si>
    <t>麗嬰房轉大人 外資連18買</t>
  </si>
  <si>
    <t>雄獅上月業績 成長15％</t>
  </si>
  <si>
    <t>全新 今盤中揚逾2.6%</t>
  </si>
  <si>
    <t>智邦 盤中漲幅達5.65%</t>
  </si>
  <si>
    <t>百和鄭森煤 掌磐石會</t>
  </si>
  <si>
    <t>華碩 今股價終場收在最高點278元</t>
  </si>
  <si>
    <t>晶華劍湖山 攻親子客群</t>
  </si>
  <si>
    <t>致伸-43％ 三年來低點</t>
  </si>
  <si>
    <t>就市論勢／汽車航運零組件 拉風</t>
  </si>
  <si>
    <t>F*AS、信億 3/24、4/6終止櫃檯買賣</t>
  </si>
  <si>
    <t>大中 營運添加新動能</t>
  </si>
  <si>
    <t>人民幣匯率／短線 偏升值操作</t>
  </si>
  <si>
    <t>願景今年營收 看增兩位數</t>
  </si>
  <si>
    <t>誠研衝業績 拚增十倍</t>
  </si>
  <si>
    <t>華園擁利多 淡季不淡</t>
  </si>
  <si>
    <t>證交所赴日引資入台股</t>
  </si>
  <si>
    <t>百和去年股息 擬配發2元</t>
  </si>
  <si>
    <t>專家解盤／法人積極偏多 趨勢沒變</t>
  </si>
  <si>
    <t>可寧衛-4％ 專案接單熱</t>
  </si>
  <si>
    <t>強攻有憾 台指期退守8600</t>
  </si>
  <si>
    <t>最牛一輪／榮化利多 59元富看俏</t>
  </si>
  <si>
    <t>宣德鈺創強勢 短打</t>
  </si>
  <si>
    <t>晶技-21％ 閎暉-11％</t>
  </si>
  <si>
    <t>瑞儀-25％ Q1可能不妙</t>
  </si>
  <si>
    <t>上月業績／中磊-17％ 璟德-24％</t>
  </si>
  <si>
    <t>2643</t>
  </si>
  <si>
    <t>捷迅</t>
  </si>
  <si>
    <t>20160307外資買賣超</t>
    <phoneticPr fontId="1" type="noConversion"/>
  </si>
  <si>
    <t>20160307投信買賣超</t>
    <phoneticPr fontId="1" type="noConversion"/>
  </si>
  <si>
    <t>20160307收盤價</t>
    <phoneticPr fontId="1" type="noConversion"/>
  </si>
  <si>
    <t>20160218-20160307日平均:收盤價</t>
    <phoneticPr fontId="1" type="noConversion"/>
  </si>
  <si>
    <t>近12日平均:收盤價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</si>
</sst>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4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theme="1"/>
      <name val="Helvetica"/>
      <family val="2"/>
    </font>
    <font>
      <b/>
      <sz val="12"/>
      <color rgb="FF444444"/>
      <name val="Helvetica"/>
      <family val="2"/>
    </font>
    <font>
      <sz val="12"/>
      <color rgb="FF444444"/>
      <name val="Helvetica"/>
      <family val="2"/>
    </font>
    <font>
      <b/>
      <sz val="20"/>
      <color rgb="FFFF0000"/>
      <name val="細明體"/>
      <family val="3"/>
      <charset val="136"/>
    </font>
    <font>
      <b/>
      <sz val="11"/>
      <color rgb="FFFF0000"/>
      <name val="新細明體"/>
      <family val="2"/>
      <charset val="136"/>
      <scheme val="minor"/>
    </font>
    <font>
      <b/>
      <sz val="20"/>
      <color rgb="FFFF0000"/>
      <name val="新細明體"/>
      <family val="2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6"/>
      <color rgb="FFCC3300"/>
      <name val="細明體"/>
      <family val="3"/>
      <charset val="136"/>
    </font>
    <font>
      <sz val="11"/>
      <color rgb="FFCC3300"/>
      <name val="新細明體"/>
      <family val="2"/>
      <charset val="136"/>
      <scheme val="minor"/>
    </font>
    <font>
      <sz val="16"/>
      <color rgb="FFCC3300"/>
      <name val="新細明體"/>
      <family val="2"/>
      <charset val="136"/>
      <scheme val="minor"/>
    </font>
    <font>
      <b/>
      <sz val="11"/>
      <color rgb="FF0000FF"/>
      <name val="新細明體"/>
      <family val="2"/>
      <charset val="136"/>
    </font>
    <font>
      <b/>
      <sz val="11"/>
      <color rgb="FF0000FF"/>
      <name val="新細明體"/>
      <family val="1"/>
      <charset val="136"/>
    </font>
    <font>
      <sz val="11"/>
      <color theme="1"/>
      <name val="新細明體"/>
      <family val="2"/>
      <charset val="136"/>
      <scheme val="minor"/>
    </font>
    <font>
      <sz val="7.5"/>
      <color theme="1"/>
      <name val="Microsoft YaHei"/>
      <family val="2"/>
    </font>
    <font>
      <sz val="12"/>
      <color theme="1"/>
      <name val="Microsoft YaHei"/>
      <family val="2"/>
    </font>
    <font>
      <sz val="12"/>
      <name val="新細明體"/>
      <family val="2"/>
      <charset val="136"/>
      <scheme val="minor"/>
    </font>
    <font>
      <sz val="12"/>
      <color indexed="23"/>
      <name val="新細明體"/>
      <family val="2"/>
      <charset val="136"/>
      <scheme val="minor"/>
    </font>
    <font>
      <sz val="8"/>
      <color theme="1"/>
      <name val="Verdana"/>
      <family val="2"/>
    </font>
    <font>
      <b/>
      <sz val="12"/>
      <color rgb="FF0000FF"/>
      <name val="新細明體"/>
      <family val="1"/>
      <charset val="136"/>
      <scheme val="minor"/>
    </font>
    <font>
      <b/>
      <sz val="11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</font>
    <font>
      <sz val="10"/>
      <color theme="1"/>
      <name val="Verdana"/>
      <family val="2"/>
    </font>
    <font>
      <b/>
      <sz val="8"/>
      <color rgb="FF957DE0"/>
      <name val="Verdana"/>
      <family val="2"/>
    </font>
    <font>
      <sz val="8"/>
      <color theme="1"/>
      <name val="Helvetica"/>
      <family val="2"/>
    </font>
    <font>
      <sz val="7"/>
      <color rgb="FFB4B4B4"/>
      <name val="Helvetica"/>
      <family val="2"/>
    </font>
    <font>
      <sz val="7"/>
      <color rgb="FF606060"/>
      <name val="Helvetica"/>
      <family val="2"/>
    </font>
    <font>
      <sz val="8"/>
      <color rgb="FF444444"/>
      <name val="Helvetica"/>
      <family val="2"/>
    </font>
    <font>
      <sz val="8"/>
      <color rgb="FFD64937"/>
      <name val="Helvetica"/>
      <family val="2"/>
    </font>
    <font>
      <sz val="8"/>
      <color rgb="FF0054A6"/>
      <name val="Helvetica"/>
      <family val="2"/>
    </font>
    <font>
      <b/>
      <sz val="8"/>
      <color rgb="FFFFFFFF"/>
      <name val="Helvetica"/>
      <family val="2"/>
    </font>
    <font>
      <sz val="9"/>
      <color theme="1"/>
      <name val="Arial"/>
      <family val="2"/>
    </font>
    <font>
      <sz val="9"/>
      <color rgb="FF444444"/>
      <name val="Arial"/>
      <family val="2"/>
    </font>
    <font>
      <b/>
      <sz val="10"/>
      <color rgb="FF0054A6"/>
      <name val="Arial"/>
      <family val="2"/>
    </font>
    <font>
      <sz val="7"/>
      <color rgb="FFFFFFFF"/>
      <name val="Helvetica"/>
      <family val="2"/>
    </font>
    <font>
      <b/>
      <sz val="10"/>
      <color rgb="FF0054A6"/>
      <name val="Helvetica"/>
      <family val="2"/>
    </font>
    <font>
      <b/>
      <sz val="7"/>
      <color rgb="FF555555"/>
      <name val="Helvetica"/>
      <family val="2"/>
    </font>
    <font>
      <sz val="8"/>
      <color rgb="FF444444"/>
      <name val="Arial"/>
      <family val="2"/>
    </font>
    <font>
      <sz val="8"/>
      <color rgb="FFFFFFFF"/>
      <name val="Arial"/>
      <family val="2"/>
    </font>
    <font>
      <sz val="7"/>
      <color rgb="FF999999"/>
      <name val="Arial"/>
      <family val="2"/>
    </font>
    <font>
      <b/>
      <sz val="13.5"/>
      <color rgb="FFFF6600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75C2"/>
        <bgColor indexed="64"/>
      </patternFill>
    </fill>
    <fill>
      <patternFill patternType="solid">
        <fgColor rgb="FFCCFFCC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rgb="FFD7D7D7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thick">
        <color rgb="FFD7D7D7"/>
      </bottom>
      <diagonal/>
    </border>
    <border>
      <left/>
      <right/>
      <top/>
      <bottom style="dotted">
        <color rgb="FFCCCCCC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dotted">
        <color rgb="FFCCCCCC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0" fillId="0" borderId="0" xfId="0" applyAlignment="1">
      <alignment horizontal="left" vertical="center" indent="1"/>
    </xf>
    <xf numFmtId="0" fontId="2" fillId="0" borderId="0" xfId="1" applyAlignment="1">
      <alignment horizontal="left" vertical="center" indent="1"/>
    </xf>
    <xf numFmtId="0" fontId="0" fillId="2" borderId="0" xfId="0" applyFill="1">
      <alignment vertical="center"/>
    </xf>
    <xf numFmtId="0" fontId="2" fillId="0" borderId="0" xfId="1">
      <alignment vertical="center"/>
    </xf>
    <xf numFmtId="0" fontId="2" fillId="0" borderId="0" xfId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3" xfId="1" applyBorder="1" applyAlignment="1">
      <alignment vertical="center" wrapText="1"/>
    </xf>
    <xf numFmtId="0" fontId="5" fillId="2" borderId="4" xfId="0" applyFont="1" applyFill="1" applyBorder="1" applyAlignment="1">
      <alignment horizontal="center" vertical="center" wrapText="1"/>
    </xf>
    <xf numFmtId="22" fontId="5" fillId="2" borderId="4" xfId="0" applyNumberFormat="1" applyFont="1" applyFill="1" applyBorder="1" applyAlignment="1">
      <alignment horizontal="right" vertical="center" wrapText="1"/>
    </xf>
    <xf numFmtId="0" fontId="5" fillId="2" borderId="4" xfId="0" applyFont="1" applyFill="1" applyBorder="1" applyAlignment="1">
      <alignment horizontal="right" vertical="center" wrapText="1"/>
    </xf>
    <xf numFmtId="0" fontId="2" fillId="2" borderId="4" xfId="1" applyFill="1" applyBorder="1" applyAlignment="1">
      <alignment vertical="center" wrapText="1"/>
    </xf>
    <xf numFmtId="0" fontId="2" fillId="0" borderId="0" xfId="1" applyAlignment="1">
      <alignment horizontal="left" vertical="center" indent="2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0" fillId="0" borderId="0" xfId="0" applyFont="1" applyAlignment="1">
      <alignment vertical="center" wrapText="1"/>
    </xf>
    <xf numFmtId="0" fontId="0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6" fillId="0" borderId="0" xfId="0" applyFont="1">
      <alignment vertical="center"/>
    </xf>
    <xf numFmtId="0" fontId="18" fillId="0" borderId="0" xfId="0" applyNumberFormat="1" applyFont="1">
      <alignment vertical="center"/>
    </xf>
    <xf numFmtId="49" fontId="18" fillId="0" borderId="0" xfId="0" applyNumberFormat="1" applyFont="1">
      <alignment vertical="center"/>
    </xf>
    <xf numFmtId="0" fontId="19" fillId="0" borderId="0" xfId="0" applyNumberFormat="1" applyFont="1">
      <alignment vertical="center"/>
    </xf>
    <xf numFmtId="0" fontId="15" fillId="0" borderId="0" xfId="0" applyFont="1" applyAlignment="1">
      <alignment horizontal="center" vertical="center"/>
    </xf>
    <xf numFmtId="0" fontId="22" fillId="0" borderId="0" xfId="0" applyFont="1">
      <alignment vertical="center"/>
    </xf>
    <xf numFmtId="0" fontId="21" fillId="0" borderId="0" xfId="0" applyFont="1">
      <alignment vertical="center"/>
    </xf>
    <xf numFmtId="176" fontId="9" fillId="0" borderId="0" xfId="0" applyNumberFormat="1" applyFont="1" applyAlignment="1">
      <alignment vertical="center"/>
    </xf>
    <xf numFmtId="0" fontId="24" fillId="0" borderId="0" xfId="0" applyFont="1" applyAlignment="1">
      <alignment horizontal="left" vertical="center" indent="1"/>
    </xf>
    <xf numFmtId="0" fontId="24" fillId="0" borderId="0" xfId="0" applyFont="1">
      <alignment vertical="center"/>
    </xf>
    <xf numFmtId="0" fontId="25" fillId="0" borderId="0" xfId="0" applyFont="1" applyAlignment="1">
      <alignment horizontal="left" vertical="center" indent="1"/>
    </xf>
    <xf numFmtId="0" fontId="28" fillId="0" borderId="0" xfId="0" applyFont="1">
      <alignment vertical="center"/>
    </xf>
    <xf numFmtId="0" fontId="26" fillId="0" borderId="0" xfId="0" applyFont="1" applyAlignment="1">
      <alignment horizontal="right" vertical="center"/>
    </xf>
    <xf numFmtId="0" fontId="32" fillId="2" borderId="4" xfId="0" applyFont="1" applyFill="1" applyBorder="1" applyAlignment="1">
      <alignment vertical="center" wrapText="1"/>
    </xf>
    <xf numFmtId="0" fontId="26" fillId="0" borderId="3" xfId="0" applyFont="1" applyBorder="1" applyAlignment="1">
      <alignment vertical="center" wrapText="1"/>
    </xf>
    <xf numFmtId="0" fontId="29" fillId="2" borderId="4" xfId="0" applyFont="1" applyFill="1" applyBorder="1" applyAlignment="1">
      <alignment vertical="center" wrapText="1"/>
    </xf>
    <xf numFmtId="0" fontId="34" fillId="0" borderId="0" xfId="0" applyFont="1">
      <alignment vertical="center"/>
    </xf>
    <xf numFmtId="0" fontId="35" fillId="0" borderId="0" xfId="0" applyFont="1">
      <alignment vertical="center"/>
    </xf>
    <xf numFmtId="0" fontId="37" fillId="0" borderId="0" xfId="0" applyFont="1">
      <alignment vertical="center"/>
    </xf>
    <xf numFmtId="0" fontId="38" fillId="0" borderId="0" xfId="0" applyFont="1">
      <alignment vertical="center"/>
    </xf>
    <xf numFmtId="0" fontId="36" fillId="0" borderId="0" xfId="0" applyFont="1">
      <alignment vertical="center"/>
    </xf>
    <xf numFmtId="0" fontId="36" fillId="3" borderId="0" xfId="0" applyFont="1" applyFill="1">
      <alignment vertical="center"/>
    </xf>
    <xf numFmtId="0" fontId="10" fillId="0" borderId="7" xfId="0" applyFont="1" applyBorder="1" applyAlignment="1">
      <alignment vertical="center"/>
    </xf>
    <xf numFmtId="0" fontId="40" fillId="0" borderId="5" xfId="0" applyFont="1" applyBorder="1" applyAlignment="1">
      <alignment horizontal="center" vertical="center"/>
    </xf>
    <xf numFmtId="0" fontId="2" fillId="0" borderId="0" xfId="1" applyAlignment="1">
      <alignment vertical="center"/>
    </xf>
    <xf numFmtId="0" fontId="0" fillId="0" borderId="0" xfId="0" applyFont="1" applyAlignment="1">
      <alignment horizontal="center" vertical="center"/>
    </xf>
    <xf numFmtId="0" fontId="42" fillId="0" borderId="0" xfId="0" applyFont="1">
      <alignment vertical="center"/>
    </xf>
    <xf numFmtId="0" fontId="42" fillId="0" borderId="7" xfId="0" applyFont="1" applyBorder="1">
      <alignment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vertical="center" wrapText="1"/>
    </xf>
    <xf numFmtId="0" fontId="43" fillId="0" borderId="0" xfId="0" applyFont="1">
      <alignment vertical="center"/>
    </xf>
    <xf numFmtId="0" fontId="13" fillId="4" borderId="6" xfId="0" applyFont="1" applyFill="1" applyBorder="1" applyAlignment="1">
      <alignment vertical="center"/>
    </xf>
    <xf numFmtId="0" fontId="13" fillId="4" borderId="6" xfId="0" applyFont="1" applyFill="1" applyBorder="1" applyAlignment="1">
      <alignment horizontal="center" vertical="center" wrapText="1"/>
    </xf>
    <xf numFmtId="0" fontId="14" fillId="4" borderId="6" xfId="0" applyFont="1" applyFill="1" applyBorder="1" applyAlignment="1">
      <alignment vertical="center" wrapText="1"/>
    </xf>
    <xf numFmtId="0" fontId="20" fillId="0" borderId="0" xfId="0" applyFont="1" applyAlignment="1">
      <alignment horizontal="left" vertical="center" indent="1"/>
    </xf>
    <xf numFmtId="0" fontId="6" fillId="0" borderId="0" xfId="0" applyFont="1" applyAlignment="1">
      <alignment horizontal="left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onnections" Target="connections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dtpage_cold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ocus" preserveFormatting="0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securities" preserveFormatting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securities?page=2" preserveFormatting="0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6644" preserveFormatting="0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6645" preserveFormatting="0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42" Type="http://schemas.openxmlformats.org/officeDocument/2006/relationships/hyperlink" Target="http://udn.com/news/story/7253/1546681" TargetMode="External"/><Relationship Id="rId143" Type="http://schemas.openxmlformats.org/officeDocument/2006/relationships/hyperlink" Target="http://udn.com/news/story/7253/1547506" TargetMode="External"/><Relationship Id="rId144" Type="http://schemas.openxmlformats.org/officeDocument/2006/relationships/hyperlink" Target="http://udn.com/news/story/7251/1546617" TargetMode="External"/><Relationship Id="rId145" Type="http://schemas.openxmlformats.org/officeDocument/2006/relationships/hyperlink" Target="http://udn.com/news/story/7252/1547547" TargetMode="External"/><Relationship Id="rId146" Type="http://schemas.openxmlformats.org/officeDocument/2006/relationships/hyperlink" Target="http://udn.com/news/story/7252/1546658" TargetMode="External"/><Relationship Id="rId147" Type="http://schemas.openxmlformats.org/officeDocument/2006/relationships/hyperlink" Target="http://udn.com/news/story/7253/1546667" TargetMode="External"/><Relationship Id="rId148" Type="http://schemas.openxmlformats.org/officeDocument/2006/relationships/hyperlink" Target="http://udn.com/news/story/7255/1547488" TargetMode="External"/><Relationship Id="rId149" Type="http://schemas.openxmlformats.org/officeDocument/2006/relationships/hyperlink" Target="http://udn.com/news/story/7254/1546688" TargetMode="External"/><Relationship Id="rId180" Type="http://schemas.openxmlformats.org/officeDocument/2006/relationships/hyperlink" Target="http://udn.com/news/story/7253/1547571" TargetMode="External"/><Relationship Id="rId181" Type="http://schemas.openxmlformats.org/officeDocument/2006/relationships/printerSettings" Target="../printerSettings/printerSettings2.bin"/><Relationship Id="rId40" Type="http://schemas.openxmlformats.org/officeDocument/2006/relationships/hyperlink" Target="http://www.chinatimes.com/newspapers/20160308000248-260206" TargetMode="External"/><Relationship Id="rId41" Type="http://schemas.openxmlformats.org/officeDocument/2006/relationships/hyperlink" Target="http://www.chinatimes.com/newspapers/20160308000247-260206" TargetMode="External"/><Relationship Id="rId42" Type="http://schemas.openxmlformats.org/officeDocument/2006/relationships/hyperlink" Target="http://www.chinatimes.com/newspapers/20160308000245-260206" TargetMode="External"/><Relationship Id="rId43" Type="http://schemas.openxmlformats.org/officeDocument/2006/relationships/hyperlink" Target="http://www.chinatimes.com/newspapers/20160308000231-260206" TargetMode="External"/><Relationship Id="rId44" Type="http://schemas.openxmlformats.org/officeDocument/2006/relationships/hyperlink" Target="http://www.chinatimes.com/newspapers/20160308000229-260206" TargetMode="External"/><Relationship Id="rId45" Type="http://schemas.openxmlformats.org/officeDocument/2006/relationships/hyperlink" Target="http://www.chinatimes.com/newspapers/20160308000228-260206" TargetMode="External"/><Relationship Id="rId46" Type="http://schemas.openxmlformats.org/officeDocument/2006/relationships/hyperlink" Target="http://www.chinatimes.com/newspapers/20160308000227-260206" TargetMode="External"/><Relationship Id="rId47" Type="http://schemas.openxmlformats.org/officeDocument/2006/relationships/hyperlink" Target="http://www.chinatimes.com/newspapers/20160308000226-260206" TargetMode="External"/><Relationship Id="rId48" Type="http://schemas.openxmlformats.org/officeDocument/2006/relationships/hyperlink" Target="http://www.chinatimes.com/newspapers/20160308000225-260206" TargetMode="External"/><Relationship Id="rId49" Type="http://schemas.openxmlformats.org/officeDocument/2006/relationships/hyperlink" Target="http://www.chinatimes.com/newspapers/20160308000224-260206" TargetMode="External"/><Relationship Id="rId80" Type="http://schemas.openxmlformats.org/officeDocument/2006/relationships/hyperlink" Target="http://udn.com/news/story/7240/1548027" TargetMode="External"/><Relationship Id="rId81" Type="http://schemas.openxmlformats.org/officeDocument/2006/relationships/hyperlink" Target="http://udn.com/news/story/7241/1548031" TargetMode="External"/><Relationship Id="rId82" Type="http://schemas.openxmlformats.org/officeDocument/2006/relationships/hyperlink" Target="http://udn.com/news/story/7241/1548025" TargetMode="External"/><Relationship Id="rId83" Type="http://schemas.openxmlformats.org/officeDocument/2006/relationships/hyperlink" Target="http://udn.com/news/story/7239/1548108" TargetMode="External"/><Relationship Id="rId84" Type="http://schemas.openxmlformats.org/officeDocument/2006/relationships/hyperlink" Target="http://udn.com/news/story/7239/1548118" TargetMode="External"/><Relationship Id="rId85" Type="http://schemas.openxmlformats.org/officeDocument/2006/relationships/hyperlink" Target="http://udn.com/news/story/7239/1548119" TargetMode="External"/><Relationship Id="rId86" Type="http://schemas.openxmlformats.org/officeDocument/2006/relationships/hyperlink" Target="http://udn.com/news/story/7239/1548109" TargetMode="External"/><Relationship Id="rId87" Type="http://schemas.openxmlformats.org/officeDocument/2006/relationships/hyperlink" Target="http://udn.com/news/story/7239/1548116" TargetMode="External"/><Relationship Id="rId88" Type="http://schemas.openxmlformats.org/officeDocument/2006/relationships/hyperlink" Target="http://udn.com/news/story/7239/1548120" TargetMode="External"/><Relationship Id="rId89" Type="http://schemas.openxmlformats.org/officeDocument/2006/relationships/hyperlink" Target="http://udn.com/news/story/7239/1548126" TargetMode="External"/><Relationship Id="rId110" Type="http://schemas.openxmlformats.org/officeDocument/2006/relationships/hyperlink" Target="http://udn.com/news/story/7238/1548102" TargetMode="External"/><Relationship Id="rId111" Type="http://schemas.openxmlformats.org/officeDocument/2006/relationships/hyperlink" Target="http://udn.com/news/story/7238/1548101" TargetMode="External"/><Relationship Id="rId112" Type="http://schemas.openxmlformats.org/officeDocument/2006/relationships/hyperlink" Target="http://udn.com/news/story/7238/1548094" TargetMode="External"/><Relationship Id="rId113" Type="http://schemas.openxmlformats.org/officeDocument/2006/relationships/hyperlink" Target="http://udn.com/news/story/9523/1548107" TargetMode="External"/><Relationship Id="rId114" Type="http://schemas.openxmlformats.org/officeDocument/2006/relationships/hyperlink" Target="http://udn.com/news/story/9523/1548106" TargetMode="External"/><Relationship Id="rId115" Type="http://schemas.openxmlformats.org/officeDocument/2006/relationships/hyperlink" Target="http://udn.com/news/story/9523/1548100" TargetMode="External"/><Relationship Id="rId116" Type="http://schemas.openxmlformats.org/officeDocument/2006/relationships/hyperlink" Target="http://udn.com/news/story/9523/1548095" TargetMode="External"/><Relationship Id="rId117" Type="http://schemas.openxmlformats.org/officeDocument/2006/relationships/hyperlink" Target="http://udn.com/news/story/7240/1546627" TargetMode="External"/><Relationship Id="rId118" Type="http://schemas.openxmlformats.org/officeDocument/2006/relationships/hyperlink" Target="http://udn.com/news/story/7240/1546633" TargetMode="External"/><Relationship Id="rId119" Type="http://schemas.openxmlformats.org/officeDocument/2006/relationships/hyperlink" Target="http://udn.com/news/story/7238/1546626" TargetMode="External"/><Relationship Id="rId150" Type="http://schemas.openxmlformats.org/officeDocument/2006/relationships/hyperlink" Target="http://udn.com/news/story/7255/1547489" TargetMode="External"/><Relationship Id="rId151" Type="http://schemas.openxmlformats.org/officeDocument/2006/relationships/hyperlink" Target="http://udn.com/news/story/7253/1547584" TargetMode="External"/><Relationship Id="rId152" Type="http://schemas.openxmlformats.org/officeDocument/2006/relationships/hyperlink" Target="http://udn.com/news/story/7251/1547447" TargetMode="External"/><Relationship Id="rId10" Type="http://schemas.openxmlformats.org/officeDocument/2006/relationships/hyperlink" Target="http://www.chinatimes.com/newspapers/20160308000933-260303" TargetMode="External"/><Relationship Id="rId11" Type="http://schemas.openxmlformats.org/officeDocument/2006/relationships/hyperlink" Target="http://www.chinatimes.com/newspapers/20160308000931-260303" TargetMode="External"/><Relationship Id="rId12" Type="http://schemas.openxmlformats.org/officeDocument/2006/relationships/hyperlink" Target="http://www.chinatimes.com/newspapers/20160308000927-260303" TargetMode="External"/><Relationship Id="rId13" Type="http://schemas.openxmlformats.org/officeDocument/2006/relationships/hyperlink" Target="http://www.chinatimes.com/newspapers/20160308000926-260303" TargetMode="External"/><Relationship Id="rId14" Type="http://schemas.openxmlformats.org/officeDocument/2006/relationships/hyperlink" Target="http://www.chinatimes.com/newspapers/20160308000925-260303" TargetMode="External"/><Relationship Id="rId15" Type="http://schemas.openxmlformats.org/officeDocument/2006/relationships/hyperlink" Target="http://www.chinatimes.com/newspapers/20160308000922-260303" TargetMode="External"/><Relationship Id="rId16" Type="http://schemas.openxmlformats.org/officeDocument/2006/relationships/hyperlink" Target="http://www.chinatimes.com/newspapers/20160308000920-260303" TargetMode="External"/><Relationship Id="rId17" Type="http://schemas.openxmlformats.org/officeDocument/2006/relationships/hyperlink" Target="http://www.chinatimes.com/newspapers/20160308000918-260303" TargetMode="External"/><Relationship Id="rId18" Type="http://schemas.openxmlformats.org/officeDocument/2006/relationships/hyperlink" Target="http://www.chinatimes.com/newspapers/20160308000916-260303" TargetMode="External"/><Relationship Id="rId19" Type="http://schemas.openxmlformats.org/officeDocument/2006/relationships/hyperlink" Target="http://www.chinatimes.com/newspapers/20160308000914-260303" TargetMode="External"/><Relationship Id="rId153" Type="http://schemas.openxmlformats.org/officeDocument/2006/relationships/hyperlink" Target="http://udn.com/news/story/7254/1547569" TargetMode="External"/><Relationship Id="rId154" Type="http://schemas.openxmlformats.org/officeDocument/2006/relationships/hyperlink" Target="http://udn.com/news/story/7253/1546654" TargetMode="External"/><Relationship Id="rId155" Type="http://schemas.openxmlformats.org/officeDocument/2006/relationships/hyperlink" Target="http://udn.com/news/story/7253/1547510" TargetMode="External"/><Relationship Id="rId156" Type="http://schemas.openxmlformats.org/officeDocument/2006/relationships/hyperlink" Target="http://udn.com/news/story/7251/1547500" TargetMode="External"/><Relationship Id="rId157" Type="http://schemas.openxmlformats.org/officeDocument/2006/relationships/hyperlink" Target="http://udn.com/news/story/7252/1547546" TargetMode="External"/><Relationship Id="rId158" Type="http://schemas.openxmlformats.org/officeDocument/2006/relationships/hyperlink" Target="http://udn.com/news/story/7253/1546680" TargetMode="External"/><Relationship Id="rId159" Type="http://schemas.openxmlformats.org/officeDocument/2006/relationships/hyperlink" Target="http://udn.com/news/story/7253/1546685" TargetMode="External"/><Relationship Id="rId50" Type="http://schemas.openxmlformats.org/officeDocument/2006/relationships/hyperlink" Target="http://www.chinatimes.com/newspapers/20160308000223-260206" TargetMode="External"/><Relationship Id="rId51" Type="http://schemas.openxmlformats.org/officeDocument/2006/relationships/hyperlink" Target="http://www.chinatimes.com/newspapers/20160308000221-260206" TargetMode="External"/><Relationship Id="rId52" Type="http://schemas.openxmlformats.org/officeDocument/2006/relationships/hyperlink" Target="http://www.chinatimes.com/newspapers/20160308000220-260206" TargetMode="External"/><Relationship Id="rId53" Type="http://schemas.openxmlformats.org/officeDocument/2006/relationships/hyperlink" Target="http://www.chinatimes.com/newspapers/20160308000218-260206" TargetMode="External"/><Relationship Id="rId54" Type="http://schemas.openxmlformats.org/officeDocument/2006/relationships/hyperlink" Target="http://www.chinatimes.com/newspapers/20160308000216-260206" TargetMode="External"/><Relationship Id="rId55" Type="http://schemas.openxmlformats.org/officeDocument/2006/relationships/hyperlink" Target="http://www.chinatimes.com/newspapers/20160308000214-260206" TargetMode="External"/><Relationship Id="rId56" Type="http://schemas.openxmlformats.org/officeDocument/2006/relationships/hyperlink" Target="http://www.chinatimes.com/newspapers/20160308000213-260206" TargetMode="External"/><Relationship Id="rId57" Type="http://schemas.openxmlformats.org/officeDocument/2006/relationships/hyperlink" Target="http://www.chinatimes.com/newspapers/20160308000212-260206" TargetMode="External"/><Relationship Id="rId58" Type="http://schemas.openxmlformats.org/officeDocument/2006/relationships/hyperlink" Target="http://www.chinatimes.com/newspapers/20160308000211-260206" TargetMode="External"/><Relationship Id="rId59" Type="http://schemas.openxmlformats.org/officeDocument/2006/relationships/hyperlink" Target="http://www.chinatimes.com/newspapers/20160308000210-260206" TargetMode="External"/><Relationship Id="rId90" Type="http://schemas.openxmlformats.org/officeDocument/2006/relationships/hyperlink" Target="http://udn.com/news/story/7239/1548133" TargetMode="External"/><Relationship Id="rId91" Type="http://schemas.openxmlformats.org/officeDocument/2006/relationships/hyperlink" Target="http://udn.com/news/story/7238/1548141" TargetMode="External"/><Relationship Id="rId92" Type="http://schemas.openxmlformats.org/officeDocument/2006/relationships/hyperlink" Target="http://udn.com/news/story/7238/1547564" TargetMode="External"/><Relationship Id="rId93" Type="http://schemas.openxmlformats.org/officeDocument/2006/relationships/hyperlink" Target="http://udn.com/news/story/7238/1548103" TargetMode="External"/><Relationship Id="rId94" Type="http://schemas.openxmlformats.org/officeDocument/2006/relationships/hyperlink" Target="http://udn.com/news/story/7238/1548098" TargetMode="External"/><Relationship Id="rId95" Type="http://schemas.openxmlformats.org/officeDocument/2006/relationships/hyperlink" Target="http://udn.com/news/story/7238/1548096" TargetMode="External"/><Relationship Id="rId96" Type="http://schemas.openxmlformats.org/officeDocument/2006/relationships/hyperlink" Target="http://udn.com/news/story/7238/1548169" TargetMode="External"/><Relationship Id="rId97" Type="http://schemas.openxmlformats.org/officeDocument/2006/relationships/hyperlink" Target="http://udn.com/news/story/9523/1548139" TargetMode="External"/><Relationship Id="rId98" Type="http://schemas.openxmlformats.org/officeDocument/2006/relationships/hyperlink" Target="http://udn.com/news/story/7240/1548010" TargetMode="External"/><Relationship Id="rId99" Type="http://schemas.openxmlformats.org/officeDocument/2006/relationships/hyperlink" Target="http://udn.com/news/story/7240/1548007" TargetMode="External"/><Relationship Id="rId120" Type="http://schemas.openxmlformats.org/officeDocument/2006/relationships/hyperlink" Target="http://udn.com/news/story/7241/1546664" TargetMode="External"/><Relationship Id="rId121" Type="http://schemas.openxmlformats.org/officeDocument/2006/relationships/hyperlink" Target="http://udn.com/news/story/7251/1547449" TargetMode="External"/><Relationship Id="rId122" Type="http://schemas.openxmlformats.org/officeDocument/2006/relationships/hyperlink" Target="http://udn.com/news/story/7251/1547472" TargetMode="External"/><Relationship Id="rId123" Type="http://schemas.openxmlformats.org/officeDocument/2006/relationships/hyperlink" Target="http://udn.com/news/story/7254/1546687" TargetMode="External"/><Relationship Id="rId124" Type="http://schemas.openxmlformats.org/officeDocument/2006/relationships/hyperlink" Target="http://udn.com/news/story/7253/1547432" TargetMode="External"/><Relationship Id="rId125" Type="http://schemas.openxmlformats.org/officeDocument/2006/relationships/hyperlink" Target="http://udn.com/news/story/7254/1547505" TargetMode="External"/><Relationship Id="rId126" Type="http://schemas.openxmlformats.org/officeDocument/2006/relationships/hyperlink" Target="http://udn.com/news/story/7252/1547545" TargetMode="External"/><Relationship Id="rId127" Type="http://schemas.openxmlformats.org/officeDocument/2006/relationships/hyperlink" Target="http://udn.com/news/story/7251/1548009" TargetMode="External"/><Relationship Id="rId128" Type="http://schemas.openxmlformats.org/officeDocument/2006/relationships/hyperlink" Target="http://udn.com/news/story/7251/1548124" TargetMode="External"/><Relationship Id="rId129" Type="http://schemas.openxmlformats.org/officeDocument/2006/relationships/hyperlink" Target="http://udn.com/news/story/7251/1546693" TargetMode="External"/><Relationship Id="rId160" Type="http://schemas.openxmlformats.org/officeDocument/2006/relationships/hyperlink" Target="http://udn.com/news/story/7252/1547596" TargetMode="External"/><Relationship Id="rId161" Type="http://schemas.openxmlformats.org/officeDocument/2006/relationships/hyperlink" Target="http://udn.com/news/story/7253/1546684" TargetMode="External"/><Relationship Id="rId162" Type="http://schemas.openxmlformats.org/officeDocument/2006/relationships/hyperlink" Target="http://udn.com/news/story/7252/1547556" TargetMode="External"/><Relationship Id="rId20" Type="http://schemas.openxmlformats.org/officeDocument/2006/relationships/hyperlink" Target="http://www.chinatimes.com/newspapers/20160308000912-260303" TargetMode="External"/><Relationship Id="rId21" Type="http://schemas.openxmlformats.org/officeDocument/2006/relationships/hyperlink" Target="http://www.chinatimes.com/newspapers/20160308000086-260202" TargetMode="External"/><Relationship Id="rId22" Type="http://schemas.openxmlformats.org/officeDocument/2006/relationships/hyperlink" Target="http://www.chinatimes.com/newspapers/20160308000085-260202" TargetMode="External"/><Relationship Id="rId23" Type="http://schemas.openxmlformats.org/officeDocument/2006/relationships/hyperlink" Target="http://www.chinatimes.com/newspapers/20160308000084-260202" TargetMode="External"/><Relationship Id="rId24" Type="http://schemas.openxmlformats.org/officeDocument/2006/relationships/hyperlink" Target="http://www.chinatimes.com/newspapers/20160308000083-260202" TargetMode="External"/><Relationship Id="rId25" Type="http://schemas.openxmlformats.org/officeDocument/2006/relationships/hyperlink" Target="http://www.chinatimes.com/newspapers/20160308000081-260202" TargetMode="External"/><Relationship Id="rId26" Type="http://schemas.openxmlformats.org/officeDocument/2006/relationships/hyperlink" Target="http://www.chinatimes.com/newspapers/20160308000079-260202" TargetMode="External"/><Relationship Id="rId27" Type="http://schemas.openxmlformats.org/officeDocument/2006/relationships/hyperlink" Target="http://www.chinatimes.com/newspapers/20160308000078-260202" TargetMode="External"/><Relationship Id="rId28" Type="http://schemas.openxmlformats.org/officeDocument/2006/relationships/hyperlink" Target="http://www.chinatimes.com/newspapers/20160308000075-260202" TargetMode="External"/><Relationship Id="rId29" Type="http://schemas.openxmlformats.org/officeDocument/2006/relationships/hyperlink" Target="http://www.chinatimes.com/realtimenews/20160308001933-260410" TargetMode="External"/><Relationship Id="rId163" Type="http://schemas.openxmlformats.org/officeDocument/2006/relationships/hyperlink" Target="http://udn.com/news/story/7253/1547496" TargetMode="External"/><Relationship Id="rId164" Type="http://schemas.openxmlformats.org/officeDocument/2006/relationships/hyperlink" Target="http://udn.com/news/story/7251/1547444" TargetMode="External"/><Relationship Id="rId165" Type="http://schemas.openxmlformats.org/officeDocument/2006/relationships/hyperlink" Target="http://udn.com/news/story/7254/1546689" TargetMode="External"/><Relationship Id="rId166" Type="http://schemas.openxmlformats.org/officeDocument/2006/relationships/hyperlink" Target="http://udn.com/news/story/7253/1546682" TargetMode="External"/><Relationship Id="rId167" Type="http://schemas.openxmlformats.org/officeDocument/2006/relationships/hyperlink" Target="http://udn.com/news/story/7255/1546695" TargetMode="External"/><Relationship Id="rId168" Type="http://schemas.openxmlformats.org/officeDocument/2006/relationships/hyperlink" Target="http://udn.com/news/story/7254/1547550" TargetMode="External"/><Relationship Id="rId169" Type="http://schemas.openxmlformats.org/officeDocument/2006/relationships/hyperlink" Target="http://udn.com/news/story/7253/1547579" TargetMode="External"/><Relationship Id="rId60" Type="http://schemas.openxmlformats.org/officeDocument/2006/relationships/hyperlink" Target="http://www.chinatimes.com/realtimenews/20160308001933-260410" TargetMode="External"/><Relationship Id="rId61" Type="http://schemas.openxmlformats.org/officeDocument/2006/relationships/hyperlink" Target="http://udn.com/news/story/7241/1547887" TargetMode="External"/><Relationship Id="rId62" Type="http://schemas.openxmlformats.org/officeDocument/2006/relationships/hyperlink" Target="http://udn.com/news/story/7241/1547916" TargetMode="External"/><Relationship Id="rId63" Type="http://schemas.openxmlformats.org/officeDocument/2006/relationships/hyperlink" Target="http://udn.com/news/story/7241/1547949" TargetMode="External"/><Relationship Id="rId64" Type="http://schemas.openxmlformats.org/officeDocument/2006/relationships/hyperlink" Target="http://udn.com/news/story/7241/1547865" TargetMode="External"/><Relationship Id="rId65" Type="http://schemas.openxmlformats.org/officeDocument/2006/relationships/hyperlink" Target="http://udn.com/news/story/7241/1547868" TargetMode="External"/><Relationship Id="rId66" Type="http://schemas.openxmlformats.org/officeDocument/2006/relationships/hyperlink" Target="http://udn.com/news/story/7241/1547811" TargetMode="External"/><Relationship Id="rId67" Type="http://schemas.openxmlformats.org/officeDocument/2006/relationships/hyperlink" Target="http://udn.com/news/story/7244/1547755" TargetMode="External"/><Relationship Id="rId68" Type="http://schemas.openxmlformats.org/officeDocument/2006/relationships/hyperlink" Target="http://udn.com/news/story/7244/1547751" TargetMode="External"/><Relationship Id="rId69" Type="http://schemas.openxmlformats.org/officeDocument/2006/relationships/hyperlink" Target="http://udn.com/news/story/7244/1547753" TargetMode="External"/><Relationship Id="rId130" Type="http://schemas.openxmlformats.org/officeDocument/2006/relationships/hyperlink" Target="http://udn.com/news/story/7253/1547435" TargetMode="External"/><Relationship Id="rId131" Type="http://schemas.openxmlformats.org/officeDocument/2006/relationships/hyperlink" Target="http://udn.com/news/story/7253/1546649" TargetMode="External"/><Relationship Id="rId132" Type="http://schemas.openxmlformats.org/officeDocument/2006/relationships/hyperlink" Target="http://udn.com/news/story/7253/1548033" TargetMode="External"/><Relationship Id="rId133" Type="http://schemas.openxmlformats.org/officeDocument/2006/relationships/hyperlink" Target="http://udn.com/news/story/7253/1547509" TargetMode="External"/><Relationship Id="rId134" Type="http://schemas.openxmlformats.org/officeDocument/2006/relationships/hyperlink" Target="http://udn.com/news/story/7253/1546652" TargetMode="External"/><Relationship Id="rId135" Type="http://schemas.openxmlformats.org/officeDocument/2006/relationships/hyperlink" Target="http://udn.com/news/story/7251/1547446" TargetMode="External"/><Relationship Id="rId136" Type="http://schemas.openxmlformats.org/officeDocument/2006/relationships/hyperlink" Target="http://udn.com/news/story/7251/1547450" TargetMode="External"/><Relationship Id="rId137" Type="http://schemas.openxmlformats.org/officeDocument/2006/relationships/hyperlink" Target="http://udn.com/news/story/7254/1547580" TargetMode="External"/><Relationship Id="rId138" Type="http://schemas.openxmlformats.org/officeDocument/2006/relationships/hyperlink" Target="http://udn.com/news/story/7251/1547448" TargetMode="External"/><Relationship Id="rId139" Type="http://schemas.openxmlformats.org/officeDocument/2006/relationships/hyperlink" Target="http://udn.com/news/story/7254/1546692" TargetMode="External"/><Relationship Id="rId170" Type="http://schemas.openxmlformats.org/officeDocument/2006/relationships/hyperlink" Target="http://udn.com/news/story/7252/1547552" TargetMode="External"/><Relationship Id="rId171" Type="http://schemas.openxmlformats.org/officeDocument/2006/relationships/hyperlink" Target="http://udn.com/news/story/7251/1546613" TargetMode="External"/><Relationship Id="rId172" Type="http://schemas.openxmlformats.org/officeDocument/2006/relationships/hyperlink" Target="http://udn.com/news/story/7252/1547591" TargetMode="External"/><Relationship Id="rId30" Type="http://schemas.openxmlformats.org/officeDocument/2006/relationships/hyperlink" Target="http://www.chinatimes.com/realtimenews/20160308001807-260410" TargetMode="External"/><Relationship Id="rId31" Type="http://schemas.openxmlformats.org/officeDocument/2006/relationships/hyperlink" Target="http://www.chinatimes.com/newspapers/20160308000264-260206" TargetMode="External"/><Relationship Id="rId32" Type="http://schemas.openxmlformats.org/officeDocument/2006/relationships/hyperlink" Target="http://www.chinatimes.com/newspapers/20160308000262-260206" TargetMode="External"/><Relationship Id="rId33" Type="http://schemas.openxmlformats.org/officeDocument/2006/relationships/hyperlink" Target="http://www.chinatimes.com/newspapers/20160308000260-260206" TargetMode="External"/><Relationship Id="rId34" Type="http://schemas.openxmlformats.org/officeDocument/2006/relationships/hyperlink" Target="http://www.chinatimes.com/newspapers/20160308000258-260206" TargetMode="External"/><Relationship Id="rId35" Type="http://schemas.openxmlformats.org/officeDocument/2006/relationships/hyperlink" Target="http://www.chinatimes.com/newspapers/20160308000255-260206" TargetMode="External"/><Relationship Id="rId36" Type="http://schemas.openxmlformats.org/officeDocument/2006/relationships/hyperlink" Target="http://www.chinatimes.com/newspapers/20160308000253-260206" TargetMode="External"/><Relationship Id="rId37" Type="http://schemas.openxmlformats.org/officeDocument/2006/relationships/hyperlink" Target="http://www.chinatimes.com/newspapers/20160308000252-260206" TargetMode="External"/><Relationship Id="rId38" Type="http://schemas.openxmlformats.org/officeDocument/2006/relationships/hyperlink" Target="http://www.chinatimes.com/newspapers/20160308000251-260206" TargetMode="External"/><Relationship Id="rId39" Type="http://schemas.openxmlformats.org/officeDocument/2006/relationships/hyperlink" Target="http://www.chinatimes.com/newspapers/20160308000249-260206" TargetMode="External"/><Relationship Id="rId173" Type="http://schemas.openxmlformats.org/officeDocument/2006/relationships/hyperlink" Target="http://udn.com/news/story/7255/1546694" TargetMode="External"/><Relationship Id="rId174" Type="http://schemas.openxmlformats.org/officeDocument/2006/relationships/hyperlink" Target="http://udn.com/news/story/7252/1547497" TargetMode="External"/><Relationship Id="rId175" Type="http://schemas.openxmlformats.org/officeDocument/2006/relationships/hyperlink" Target="http://udn.com/news/story/7255/1546691" TargetMode="External"/><Relationship Id="rId176" Type="http://schemas.openxmlformats.org/officeDocument/2006/relationships/hyperlink" Target="http://udn.com/news/story/7255/1547487" TargetMode="External"/><Relationship Id="rId177" Type="http://schemas.openxmlformats.org/officeDocument/2006/relationships/hyperlink" Target="http://udn.com/news/story/7255/1547490" TargetMode="External"/><Relationship Id="rId178" Type="http://schemas.openxmlformats.org/officeDocument/2006/relationships/hyperlink" Target="http://udn.com/news/story/7253/1547508" TargetMode="External"/><Relationship Id="rId179" Type="http://schemas.openxmlformats.org/officeDocument/2006/relationships/hyperlink" Target="http://udn.com/news/story/7253/1547495" TargetMode="External"/><Relationship Id="rId70" Type="http://schemas.openxmlformats.org/officeDocument/2006/relationships/hyperlink" Target="http://udn.com/news/story/7244/1547752" TargetMode="External"/><Relationship Id="rId71" Type="http://schemas.openxmlformats.org/officeDocument/2006/relationships/hyperlink" Target="http://udn.com/news/story/7243/1548086" TargetMode="External"/><Relationship Id="rId72" Type="http://schemas.openxmlformats.org/officeDocument/2006/relationships/hyperlink" Target="http://udn.com/news/story/7243/1548084" TargetMode="External"/><Relationship Id="rId73" Type="http://schemas.openxmlformats.org/officeDocument/2006/relationships/hyperlink" Target="http://udn.com/news/story/7243/1548082" TargetMode="External"/><Relationship Id="rId74" Type="http://schemas.openxmlformats.org/officeDocument/2006/relationships/hyperlink" Target="http://udn.com/news/story/7243/1548080" TargetMode="External"/><Relationship Id="rId75" Type="http://schemas.openxmlformats.org/officeDocument/2006/relationships/hyperlink" Target="http://udn.com/news/story/7243/1548078" TargetMode="External"/><Relationship Id="rId76" Type="http://schemas.openxmlformats.org/officeDocument/2006/relationships/hyperlink" Target="http://udn.com/news/story/7240/1548073" TargetMode="External"/><Relationship Id="rId77" Type="http://schemas.openxmlformats.org/officeDocument/2006/relationships/hyperlink" Target="http://udn.com/news/story/7240/1548074" TargetMode="External"/><Relationship Id="rId78" Type="http://schemas.openxmlformats.org/officeDocument/2006/relationships/hyperlink" Target="http://udn.com/news/story/7240/1548072" TargetMode="External"/><Relationship Id="rId79" Type="http://schemas.openxmlformats.org/officeDocument/2006/relationships/hyperlink" Target="http://udn.com/news/story/7240/1548030" TargetMode="External"/><Relationship Id="rId1" Type="http://schemas.openxmlformats.org/officeDocument/2006/relationships/hyperlink" Target="http://www.chinatimes.com/newspapers/20160308000954-260303" TargetMode="External"/><Relationship Id="rId2" Type="http://schemas.openxmlformats.org/officeDocument/2006/relationships/hyperlink" Target="http://www.chinatimes.com/newspapers/20160308000951-260303" TargetMode="External"/><Relationship Id="rId3" Type="http://schemas.openxmlformats.org/officeDocument/2006/relationships/hyperlink" Target="http://www.chinatimes.com/newspapers/20160308000950-260303" TargetMode="External"/><Relationship Id="rId4" Type="http://schemas.openxmlformats.org/officeDocument/2006/relationships/hyperlink" Target="http://www.chinatimes.com/newspapers/20160308000948-260303" TargetMode="External"/><Relationship Id="rId100" Type="http://schemas.openxmlformats.org/officeDocument/2006/relationships/hyperlink" Target="http://udn.com/news/story/7240/1548008" TargetMode="External"/><Relationship Id="rId101" Type="http://schemas.openxmlformats.org/officeDocument/2006/relationships/hyperlink" Target="http://udn.com/news/story/7240/1547473" TargetMode="External"/><Relationship Id="rId102" Type="http://schemas.openxmlformats.org/officeDocument/2006/relationships/hyperlink" Target="http://udn.com/news/story/7241/1548016" TargetMode="External"/><Relationship Id="rId103" Type="http://schemas.openxmlformats.org/officeDocument/2006/relationships/hyperlink" Target="http://udn.com/news/story/7241/1548148" TargetMode="External"/><Relationship Id="rId104" Type="http://schemas.openxmlformats.org/officeDocument/2006/relationships/hyperlink" Target="http://udn.com/news/story/7241/1548149" TargetMode="External"/><Relationship Id="rId105" Type="http://schemas.openxmlformats.org/officeDocument/2006/relationships/hyperlink" Target="http://udn.com/news/story/7239/1548150" TargetMode="External"/><Relationship Id="rId106" Type="http://schemas.openxmlformats.org/officeDocument/2006/relationships/hyperlink" Target="http://udn.com/news/story/7239/1548151" TargetMode="External"/><Relationship Id="rId107" Type="http://schemas.openxmlformats.org/officeDocument/2006/relationships/hyperlink" Target="http://udn.com/news/story/7239/1548152" TargetMode="External"/><Relationship Id="rId108" Type="http://schemas.openxmlformats.org/officeDocument/2006/relationships/hyperlink" Target="http://udn.com/news/story/7239/1548153" TargetMode="External"/><Relationship Id="rId109" Type="http://schemas.openxmlformats.org/officeDocument/2006/relationships/hyperlink" Target="http://udn.com/news/story/7239/1547474" TargetMode="External"/><Relationship Id="rId5" Type="http://schemas.openxmlformats.org/officeDocument/2006/relationships/hyperlink" Target="http://www.chinatimes.com/newspapers/20160308000945-260303" TargetMode="External"/><Relationship Id="rId6" Type="http://schemas.openxmlformats.org/officeDocument/2006/relationships/hyperlink" Target="http://www.chinatimes.com/newspapers/20160308000943-260303" TargetMode="External"/><Relationship Id="rId7" Type="http://schemas.openxmlformats.org/officeDocument/2006/relationships/hyperlink" Target="http://www.chinatimes.com/newspapers/20160308000942-260303" TargetMode="External"/><Relationship Id="rId8" Type="http://schemas.openxmlformats.org/officeDocument/2006/relationships/hyperlink" Target="http://www.chinatimes.com/newspapers/20160308000939-260303" TargetMode="External"/><Relationship Id="rId9" Type="http://schemas.openxmlformats.org/officeDocument/2006/relationships/hyperlink" Target="http://www.chinatimes.com/newspapers/20160308000936-260303" TargetMode="External"/><Relationship Id="rId140" Type="http://schemas.openxmlformats.org/officeDocument/2006/relationships/hyperlink" Target="http://udn.com/news/story/7253/1547512" TargetMode="External"/><Relationship Id="rId141" Type="http://schemas.openxmlformats.org/officeDocument/2006/relationships/hyperlink" Target="http://udn.com/news/story/7254/1547494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chinatimes.com/newspapers/20160308000933-260303" TargetMode="External"/><Relationship Id="rId14" Type="http://schemas.openxmlformats.org/officeDocument/2006/relationships/hyperlink" Target="http://www.chinatimes.com/newspapers/20160308000931-260303" TargetMode="External"/><Relationship Id="rId15" Type="http://schemas.openxmlformats.org/officeDocument/2006/relationships/hyperlink" Target="http://www.chinatimes.com/newspapers/20160308000930-260303" TargetMode="External"/><Relationship Id="rId16" Type="http://schemas.openxmlformats.org/officeDocument/2006/relationships/hyperlink" Target="http://www.chinatimes.com/newspapers/20160308000927-260303" TargetMode="External"/><Relationship Id="rId17" Type="http://schemas.openxmlformats.org/officeDocument/2006/relationships/hyperlink" Target="http://www.chinatimes.com/newspapers/20160308000926-260303" TargetMode="External"/><Relationship Id="rId18" Type="http://schemas.openxmlformats.org/officeDocument/2006/relationships/hyperlink" Target="http://www.chinatimes.com/newspapers/20160308000925-260303" TargetMode="External"/><Relationship Id="rId19" Type="http://schemas.openxmlformats.org/officeDocument/2006/relationships/hyperlink" Target="http://www.chinatimes.com/newspapers/20160308000922-260303" TargetMode="External"/><Relationship Id="rId50" Type="http://schemas.openxmlformats.org/officeDocument/2006/relationships/hyperlink" Target="http://www.chinatimes.com/realtimenews/20160308001076-260410" TargetMode="External"/><Relationship Id="rId51" Type="http://schemas.openxmlformats.org/officeDocument/2006/relationships/hyperlink" Target="http://www.chinatimes.com/newspapers/20160308000060-260202" TargetMode="External"/><Relationship Id="rId52" Type="http://schemas.openxmlformats.org/officeDocument/2006/relationships/hyperlink" Target="http://www.chinatimes.com/newspapers/20160308000043-260202" TargetMode="External"/><Relationship Id="rId53" Type="http://schemas.openxmlformats.org/officeDocument/2006/relationships/hyperlink" Target="https://www.facebook.com/CTfans" TargetMode="External"/><Relationship Id="rId54" Type="http://schemas.openxmlformats.org/officeDocument/2006/relationships/queryTable" Target="../queryTables/queryTable2.xml"/><Relationship Id="rId40" Type="http://schemas.openxmlformats.org/officeDocument/2006/relationships/hyperlink" Target="http://www.chinatimes.com/money/focus?page=8" TargetMode="External"/><Relationship Id="rId41" Type="http://schemas.openxmlformats.org/officeDocument/2006/relationships/hyperlink" Target="http://www.chinatimes.com/money/focus?page=9" TargetMode="External"/><Relationship Id="rId42" Type="http://schemas.openxmlformats.org/officeDocument/2006/relationships/hyperlink" Target="http://www.chinatimes.com/money/focus?page=10" TargetMode="External"/><Relationship Id="rId43" Type="http://schemas.openxmlformats.org/officeDocument/2006/relationships/hyperlink" Target="http://www.chinatimes.com/money/focus?page=2" TargetMode="External"/><Relationship Id="rId44" Type="http://schemas.openxmlformats.org/officeDocument/2006/relationships/hyperlink" Target="http://www.chinatimes.com/money/focus?page=10" TargetMode="External"/><Relationship Id="rId45" Type="http://schemas.openxmlformats.org/officeDocument/2006/relationships/hyperlink" Target="http://www.chinatimes.com/realtimenews/20160308001933-260410" TargetMode="External"/><Relationship Id="rId46" Type="http://schemas.openxmlformats.org/officeDocument/2006/relationships/hyperlink" Target="http://www.chinatimes.com/realtimenews/20160308001076-260410" TargetMode="External"/><Relationship Id="rId47" Type="http://schemas.openxmlformats.org/officeDocument/2006/relationships/hyperlink" Target="http://www.chinatimes.com/realtimenews/20160308001076-260410" TargetMode="External"/><Relationship Id="rId48" Type="http://schemas.openxmlformats.org/officeDocument/2006/relationships/hyperlink" Target="http://www.chinatimes.com/newspapers/20160308000047-260202" TargetMode="External"/><Relationship Id="rId49" Type="http://schemas.openxmlformats.org/officeDocument/2006/relationships/hyperlink" Target="http://www.chinatimes.com/newspapers/20160308000189-260206" TargetMode="External"/><Relationship Id="rId1" Type="http://schemas.openxmlformats.org/officeDocument/2006/relationships/hyperlink" Target="http://www.chinatimes.com/" TargetMode="External"/><Relationship Id="rId2" Type="http://schemas.openxmlformats.org/officeDocument/2006/relationships/hyperlink" Target="http://www.chinatimes.com/money/" TargetMode="External"/><Relationship Id="rId3" Type="http://schemas.openxmlformats.org/officeDocument/2006/relationships/hyperlink" Target="http://www.chinatimes.com/money/focus" TargetMode="External"/><Relationship Id="rId4" Type="http://schemas.openxmlformats.org/officeDocument/2006/relationships/hyperlink" Target="http://www.chinatimes.com/newspapers/20160308000954-260303" TargetMode="External"/><Relationship Id="rId5" Type="http://schemas.openxmlformats.org/officeDocument/2006/relationships/hyperlink" Target="http://www.chinatimes.com/newspapers/20160308000951-260303" TargetMode="External"/><Relationship Id="rId6" Type="http://schemas.openxmlformats.org/officeDocument/2006/relationships/hyperlink" Target="http://www.chinatimes.com/newspapers/20160308000950-260303" TargetMode="External"/><Relationship Id="rId7" Type="http://schemas.openxmlformats.org/officeDocument/2006/relationships/hyperlink" Target="http://www.chinatimes.com/newspapers/20160308000948-260303" TargetMode="External"/><Relationship Id="rId8" Type="http://schemas.openxmlformats.org/officeDocument/2006/relationships/hyperlink" Target="http://www.chinatimes.com/newspapers/20160308000945-260303" TargetMode="External"/><Relationship Id="rId9" Type="http://schemas.openxmlformats.org/officeDocument/2006/relationships/hyperlink" Target="http://www.chinatimes.com/newspapers/20160308000943-260303" TargetMode="External"/><Relationship Id="rId30" Type="http://schemas.openxmlformats.org/officeDocument/2006/relationships/hyperlink" Target="http://www.chinatimes.com/newspapers/20160308000080-260202" TargetMode="External"/><Relationship Id="rId31" Type="http://schemas.openxmlformats.org/officeDocument/2006/relationships/hyperlink" Target="http://www.chinatimes.com/newspapers/20160308000079-260202" TargetMode="External"/><Relationship Id="rId32" Type="http://schemas.openxmlformats.org/officeDocument/2006/relationships/hyperlink" Target="http://www.chinatimes.com/newspapers/20160308000078-260202" TargetMode="External"/><Relationship Id="rId33" Type="http://schemas.openxmlformats.org/officeDocument/2006/relationships/hyperlink" Target="http://www.chinatimes.com/newspapers/20160308000075-260202" TargetMode="External"/><Relationship Id="rId34" Type="http://schemas.openxmlformats.org/officeDocument/2006/relationships/hyperlink" Target="http://www.chinatimes.com/money/focus?page=2" TargetMode="External"/><Relationship Id="rId35" Type="http://schemas.openxmlformats.org/officeDocument/2006/relationships/hyperlink" Target="http://www.chinatimes.com/money/focus?page=3" TargetMode="External"/><Relationship Id="rId36" Type="http://schemas.openxmlformats.org/officeDocument/2006/relationships/hyperlink" Target="http://www.chinatimes.com/money/focus?page=4" TargetMode="External"/><Relationship Id="rId37" Type="http://schemas.openxmlformats.org/officeDocument/2006/relationships/hyperlink" Target="http://www.chinatimes.com/money/focus?page=5" TargetMode="External"/><Relationship Id="rId38" Type="http://schemas.openxmlformats.org/officeDocument/2006/relationships/hyperlink" Target="http://www.chinatimes.com/money/focus?page=6" TargetMode="External"/><Relationship Id="rId39" Type="http://schemas.openxmlformats.org/officeDocument/2006/relationships/hyperlink" Target="http://www.chinatimes.com/money/focus?page=7" TargetMode="External"/><Relationship Id="rId20" Type="http://schemas.openxmlformats.org/officeDocument/2006/relationships/hyperlink" Target="http://www.chinatimes.com/newspapers/20160308000920-260303" TargetMode="External"/><Relationship Id="rId21" Type="http://schemas.openxmlformats.org/officeDocument/2006/relationships/hyperlink" Target="http://www.chinatimes.com/newspapers/20160308000918-260303" TargetMode="External"/><Relationship Id="rId22" Type="http://schemas.openxmlformats.org/officeDocument/2006/relationships/hyperlink" Target="http://www.chinatimes.com/newspapers/20160308000916-260303" TargetMode="External"/><Relationship Id="rId23" Type="http://schemas.openxmlformats.org/officeDocument/2006/relationships/hyperlink" Target="http://www.chinatimes.com/newspapers/20160308000914-260303" TargetMode="External"/><Relationship Id="rId24" Type="http://schemas.openxmlformats.org/officeDocument/2006/relationships/hyperlink" Target="http://www.chinatimes.com/newspapers/20160308000912-260303" TargetMode="External"/><Relationship Id="rId25" Type="http://schemas.openxmlformats.org/officeDocument/2006/relationships/hyperlink" Target="http://www.chinatimes.com/newspapers/20160308000086-260202" TargetMode="External"/><Relationship Id="rId26" Type="http://schemas.openxmlformats.org/officeDocument/2006/relationships/hyperlink" Target="http://www.chinatimes.com/newspapers/20160308000085-260202" TargetMode="External"/><Relationship Id="rId27" Type="http://schemas.openxmlformats.org/officeDocument/2006/relationships/hyperlink" Target="http://www.chinatimes.com/newspapers/20160308000084-260202" TargetMode="External"/><Relationship Id="rId28" Type="http://schemas.openxmlformats.org/officeDocument/2006/relationships/hyperlink" Target="http://www.chinatimes.com/newspapers/20160308000083-260202" TargetMode="External"/><Relationship Id="rId29" Type="http://schemas.openxmlformats.org/officeDocument/2006/relationships/hyperlink" Target="http://www.chinatimes.com/newspapers/20160308000081-260202" TargetMode="External"/><Relationship Id="rId10" Type="http://schemas.openxmlformats.org/officeDocument/2006/relationships/hyperlink" Target="http://www.chinatimes.com/newspapers/20160308000942-260303" TargetMode="External"/><Relationship Id="rId11" Type="http://schemas.openxmlformats.org/officeDocument/2006/relationships/hyperlink" Target="http://www.chinatimes.com/newspapers/20160308000939-260303" TargetMode="External"/><Relationship Id="rId12" Type="http://schemas.openxmlformats.org/officeDocument/2006/relationships/hyperlink" Target="http://www.chinatimes.com/newspapers/20160308000936-260303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chinatimes.com/realtimenews/20160308002496-260410" TargetMode="External"/><Relationship Id="rId14" Type="http://schemas.openxmlformats.org/officeDocument/2006/relationships/hyperlink" Target="http://www.chinatimes.com/realtimenews/20160308002494-260410" TargetMode="External"/><Relationship Id="rId15" Type="http://schemas.openxmlformats.org/officeDocument/2006/relationships/hyperlink" Target="http://www.chinatimes.com/realtimenews/20160308002410-260410" TargetMode="External"/><Relationship Id="rId16" Type="http://schemas.openxmlformats.org/officeDocument/2006/relationships/hyperlink" Target="http://www.chinatimes.com/realtimenews/20160308002378-260410" TargetMode="External"/><Relationship Id="rId17" Type="http://schemas.openxmlformats.org/officeDocument/2006/relationships/hyperlink" Target="http://www.chinatimes.com/realtimenews/20160308002324-260410" TargetMode="External"/><Relationship Id="rId18" Type="http://schemas.openxmlformats.org/officeDocument/2006/relationships/hyperlink" Target="http://www.chinatimes.com/realtimenews/20160308002257-260410" TargetMode="External"/><Relationship Id="rId19" Type="http://schemas.openxmlformats.org/officeDocument/2006/relationships/hyperlink" Target="http://www.chinatimes.com/realtimenews/20160308002249-260410" TargetMode="External"/><Relationship Id="rId50" Type="http://schemas.openxmlformats.org/officeDocument/2006/relationships/hyperlink" Target="http://www.chinatimes.com/realtimenews/20160308001076-260410" TargetMode="External"/><Relationship Id="rId51" Type="http://schemas.openxmlformats.org/officeDocument/2006/relationships/hyperlink" Target="http://www.chinatimes.com/newspapers/20160308000060-260202" TargetMode="External"/><Relationship Id="rId52" Type="http://schemas.openxmlformats.org/officeDocument/2006/relationships/hyperlink" Target="http://www.chinatimes.com/newspapers/20160308000043-260202" TargetMode="External"/><Relationship Id="rId53" Type="http://schemas.openxmlformats.org/officeDocument/2006/relationships/hyperlink" Target="https://www.facebook.com/CTfans" TargetMode="External"/><Relationship Id="rId54" Type="http://schemas.openxmlformats.org/officeDocument/2006/relationships/printerSettings" Target="../printerSettings/printerSettings4.bin"/><Relationship Id="rId55" Type="http://schemas.openxmlformats.org/officeDocument/2006/relationships/queryTable" Target="../queryTables/queryTable3.xml"/><Relationship Id="rId40" Type="http://schemas.openxmlformats.org/officeDocument/2006/relationships/hyperlink" Target="http://www.chinatimes.com/money/securities?page=8" TargetMode="External"/><Relationship Id="rId41" Type="http://schemas.openxmlformats.org/officeDocument/2006/relationships/hyperlink" Target="http://www.chinatimes.com/money/securities?page=9" TargetMode="External"/><Relationship Id="rId42" Type="http://schemas.openxmlformats.org/officeDocument/2006/relationships/hyperlink" Target="http://www.chinatimes.com/money/securities?page=10" TargetMode="External"/><Relationship Id="rId43" Type="http://schemas.openxmlformats.org/officeDocument/2006/relationships/hyperlink" Target="http://www.chinatimes.com/money/securities?page=2" TargetMode="External"/><Relationship Id="rId44" Type="http://schemas.openxmlformats.org/officeDocument/2006/relationships/hyperlink" Target="http://www.chinatimes.com/money/securities?page=10" TargetMode="External"/><Relationship Id="rId45" Type="http://schemas.openxmlformats.org/officeDocument/2006/relationships/hyperlink" Target="http://www.chinatimes.com/realtimenews/20160308001933-260410" TargetMode="External"/><Relationship Id="rId46" Type="http://schemas.openxmlformats.org/officeDocument/2006/relationships/hyperlink" Target="http://www.chinatimes.com/realtimenews/20160308001076-260410" TargetMode="External"/><Relationship Id="rId47" Type="http://schemas.openxmlformats.org/officeDocument/2006/relationships/hyperlink" Target="http://www.chinatimes.com/realtimenews/20160308001076-260410" TargetMode="External"/><Relationship Id="rId48" Type="http://schemas.openxmlformats.org/officeDocument/2006/relationships/hyperlink" Target="http://www.chinatimes.com/newspapers/20160308000047-260202" TargetMode="External"/><Relationship Id="rId49" Type="http://schemas.openxmlformats.org/officeDocument/2006/relationships/hyperlink" Target="http://www.chinatimes.com/newspapers/20160308000189-260206" TargetMode="External"/><Relationship Id="rId1" Type="http://schemas.openxmlformats.org/officeDocument/2006/relationships/hyperlink" Target="http://www.chinatimes.com/" TargetMode="External"/><Relationship Id="rId2" Type="http://schemas.openxmlformats.org/officeDocument/2006/relationships/hyperlink" Target="http://www.chinatimes.com/money/" TargetMode="External"/><Relationship Id="rId3" Type="http://schemas.openxmlformats.org/officeDocument/2006/relationships/hyperlink" Target="http://www.chinatimes.com/money/securities" TargetMode="External"/><Relationship Id="rId4" Type="http://schemas.openxmlformats.org/officeDocument/2006/relationships/hyperlink" Target="http://www.chinatimes.com/realtimenews/20160308002959-260410" TargetMode="External"/><Relationship Id="rId5" Type="http://schemas.openxmlformats.org/officeDocument/2006/relationships/hyperlink" Target="http://www.chinatimes.com/realtimenews/20160308002927-260410" TargetMode="External"/><Relationship Id="rId6" Type="http://schemas.openxmlformats.org/officeDocument/2006/relationships/hyperlink" Target="http://www.chinatimes.com/realtimenews/20160308002822-260410" TargetMode="External"/><Relationship Id="rId7" Type="http://schemas.openxmlformats.org/officeDocument/2006/relationships/hyperlink" Target="http://www.chinatimes.com/realtimenews/20160308002748-260410" TargetMode="External"/><Relationship Id="rId8" Type="http://schemas.openxmlformats.org/officeDocument/2006/relationships/hyperlink" Target="http://www.chinatimes.com/realtimenews/20160308002745-260410" TargetMode="External"/><Relationship Id="rId9" Type="http://schemas.openxmlformats.org/officeDocument/2006/relationships/hyperlink" Target="http://www.chinatimes.com/realtimenews/20160308002700-260410" TargetMode="External"/><Relationship Id="rId30" Type="http://schemas.openxmlformats.org/officeDocument/2006/relationships/hyperlink" Target="http://www.chinatimes.com/realtimenews/20160308001853-260410" TargetMode="External"/><Relationship Id="rId31" Type="http://schemas.openxmlformats.org/officeDocument/2006/relationships/hyperlink" Target="http://www.chinatimes.com/realtimenews/20160308001852-260410" TargetMode="External"/><Relationship Id="rId32" Type="http://schemas.openxmlformats.org/officeDocument/2006/relationships/hyperlink" Target="http://www.chinatimes.com/realtimenews/20160308001851-260410" TargetMode="External"/><Relationship Id="rId33" Type="http://schemas.openxmlformats.org/officeDocument/2006/relationships/hyperlink" Target="http://www.chinatimes.com/realtimenews/20160308001850-260410" TargetMode="External"/><Relationship Id="rId34" Type="http://schemas.openxmlformats.org/officeDocument/2006/relationships/hyperlink" Target="http://www.chinatimes.com/money/securities?page=2" TargetMode="External"/><Relationship Id="rId35" Type="http://schemas.openxmlformats.org/officeDocument/2006/relationships/hyperlink" Target="http://www.chinatimes.com/money/securities?page=3" TargetMode="External"/><Relationship Id="rId36" Type="http://schemas.openxmlformats.org/officeDocument/2006/relationships/hyperlink" Target="http://www.chinatimes.com/money/securities?page=4" TargetMode="External"/><Relationship Id="rId37" Type="http://schemas.openxmlformats.org/officeDocument/2006/relationships/hyperlink" Target="http://www.chinatimes.com/money/securities?page=5" TargetMode="External"/><Relationship Id="rId38" Type="http://schemas.openxmlformats.org/officeDocument/2006/relationships/hyperlink" Target="http://www.chinatimes.com/money/securities?page=6" TargetMode="External"/><Relationship Id="rId39" Type="http://schemas.openxmlformats.org/officeDocument/2006/relationships/hyperlink" Target="http://www.chinatimes.com/money/securities?page=7" TargetMode="External"/><Relationship Id="rId20" Type="http://schemas.openxmlformats.org/officeDocument/2006/relationships/hyperlink" Target="http://www.chinatimes.com/realtimenews/20160308002206-260410" TargetMode="External"/><Relationship Id="rId21" Type="http://schemas.openxmlformats.org/officeDocument/2006/relationships/hyperlink" Target="http://www.chinatimes.com/realtimenews/20160308002204-260410" TargetMode="External"/><Relationship Id="rId22" Type="http://schemas.openxmlformats.org/officeDocument/2006/relationships/hyperlink" Target="http://www.chinatimes.com/realtimenews/20160308002149-260410" TargetMode="External"/><Relationship Id="rId23" Type="http://schemas.openxmlformats.org/officeDocument/2006/relationships/hyperlink" Target="http://www.chinatimes.com/realtimenews/20160308001921-260410" TargetMode="External"/><Relationship Id="rId24" Type="http://schemas.openxmlformats.org/officeDocument/2006/relationships/hyperlink" Target="http://www.chinatimes.com/realtimenews/20160308001918-260410" TargetMode="External"/><Relationship Id="rId25" Type="http://schemas.openxmlformats.org/officeDocument/2006/relationships/hyperlink" Target="http://www.chinatimes.com/realtimenews/20160308001909-260410" TargetMode="External"/><Relationship Id="rId26" Type="http://schemas.openxmlformats.org/officeDocument/2006/relationships/hyperlink" Target="http://www.chinatimes.com/realtimenews/20160308001904-260410" TargetMode="External"/><Relationship Id="rId27" Type="http://schemas.openxmlformats.org/officeDocument/2006/relationships/hyperlink" Target="http://www.chinatimes.com/realtimenews/20160308001901-260410" TargetMode="External"/><Relationship Id="rId28" Type="http://schemas.openxmlformats.org/officeDocument/2006/relationships/hyperlink" Target="http://www.chinatimes.com/realtimenews/20160308001855-260410" TargetMode="External"/><Relationship Id="rId29" Type="http://schemas.openxmlformats.org/officeDocument/2006/relationships/hyperlink" Target="http://www.chinatimes.com/realtimenews/20160308001854-260410" TargetMode="External"/><Relationship Id="rId10" Type="http://schemas.openxmlformats.org/officeDocument/2006/relationships/hyperlink" Target="http://www.chinatimes.com/realtimenews/20160308002697-260410" TargetMode="External"/><Relationship Id="rId11" Type="http://schemas.openxmlformats.org/officeDocument/2006/relationships/hyperlink" Target="http://www.chinatimes.com/realtimenews/20160308002571-260410" TargetMode="External"/><Relationship Id="rId12" Type="http://schemas.openxmlformats.org/officeDocument/2006/relationships/hyperlink" Target="http://www.chinatimes.com/realtimenews/20160308002501-260410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chinatimes.com/newspapers/20160308000249-260206" TargetMode="External"/><Relationship Id="rId14" Type="http://schemas.openxmlformats.org/officeDocument/2006/relationships/hyperlink" Target="http://www.chinatimes.com/newspapers/20160308000248-260206" TargetMode="External"/><Relationship Id="rId15" Type="http://schemas.openxmlformats.org/officeDocument/2006/relationships/hyperlink" Target="http://www.chinatimes.com/newspapers/20160308000247-260206" TargetMode="External"/><Relationship Id="rId16" Type="http://schemas.openxmlformats.org/officeDocument/2006/relationships/hyperlink" Target="http://www.chinatimes.com/newspapers/20160308000245-260206" TargetMode="External"/><Relationship Id="rId17" Type="http://schemas.openxmlformats.org/officeDocument/2006/relationships/hyperlink" Target="http://www.chinatimes.com/newspapers/20160308000231-260206" TargetMode="External"/><Relationship Id="rId18" Type="http://schemas.openxmlformats.org/officeDocument/2006/relationships/hyperlink" Target="http://www.chinatimes.com/newspapers/20160308000229-260206" TargetMode="External"/><Relationship Id="rId19" Type="http://schemas.openxmlformats.org/officeDocument/2006/relationships/hyperlink" Target="http://www.chinatimes.com/newspapers/20160308000228-260206" TargetMode="External"/><Relationship Id="rId50" Type="http://schemas.openxmlformats.org/officeDocument/2006/relationships/hyperlink" Target="http://www.chinatimes.com/newspapers/20160308000047-260202" TargetMode="External"/><Relationship Id="rId51" Type="http://schemas.openxmlformats.org/officeDocument/2006/relationships/hyperlink" Target="http://www.chinatimes.com/newspapers/20160308000189-260206" TargetMode="External"/><Relationship Id="rId52" Type="http://schemas.openxmlformats.org/officeDocument/2006/relationships/hyperlink" Target="http://www.chinatimes.com/realtimenews/20160308001076-260410" TargetMode="External"/><Relationship Id="rId53" Type="http://schemas.openxmlformats.org/officeDocument/2006/relationships/hyperlink" Target="http://www.chinatimes.com/newspapers/20160308000060-260202" TargetMode="External"/><Relationship Id="rId54" Type="http://schemas.openxmlformats.org/officeDocument/2006/relationships/hyperlink" Target="http://www.chinatimes.com/newspapers/20160308000043-260202" TargetMode="External"/><Relationship Id="rId55" Type="http://schemas.openxmlformats.org/officeDocument/2006/relationships/hyperlink" Target="https://www.facebook.com/CTfans" TargetMode="External"/><Relationship Id="rId56" Type="http://schemas.openxmlformats.org/officeDocument/2006/relationships/queryTable" Target="../queryTables/queryTable4.xml"/><Relationship Id="rId40" Type="http://schemas.openxmlformats.org/officeDocument/2006/relationships/hyperlink" Target="http://www.chinatimes.com/money/securities?page=6" TargetMode="External"/><Relationship Id="rId41" Type="http://schemas.openxmlformats.org/officeDocument/2006/relationships/hyperlink" Target="http://www.chinatimes.com/money/securities?page=7" TargetMode="External"/><Relationship Id="rId42" Type="http://schemas.openxmlformats.org/officeDocument/2006/relationships/hyperlink" Target="http://www.chinatimes.com/money/securities?page=8" TargetMode="External"/><Relationship Id="rId43" Type="http://schemas.openxmlformats.org/officeDocument/2006/relationships/hyperlink" Target="http://www.chinatimes.com/money/securities?page=9" TargetMode="External"/><Relationship Id="rId44" Type="http://schemas.openxmlformats.org/officeDocument/2006/relationships/hyperlink" Target="http://www.chinatimes.com/money/securities?page=10" TargetMode="External"/><Relationship Id="rId45" Type="http://schemas.openxmlformats.org/officeDocument/2006/relationships/hyperlink" Target="http://www.chinatimes.com/money/securities?page=3" TargetMode="External"/><Relationship Id="rId46" Type="http://schemas.openxmlformats.org/officeDocument/2006/relationships/hyperlink" Target="http://www.chinatimes.com/money/securities?page=10" TargetMode="External"/><Relationship Id="rId47" Type="http://schemas.openxmlformats.org/officeDocument/2006/relationships/hyperlink" Target="http://www.chinatimes.com/realtimenews/20160308001933-260410" TargetMode="External"/><Relationship Id="rId48" Type="http://schemas.openxmlformats.org/officeDocument/2006/relationships/hyperlink" Target="http://www.chinatimes.com/realtimenews/20160308001076-260410" TargetMode="External"/><Relationship Id="rId49" Type="http://schemas.openxmlformats.org/officeDocument/2006/relationships/hyperlink" Target="http://www.chinatimes.com/realtimenews/20160308001076-260410" TargetMode="External"/><Relationship Id="rId1" Type="http://schemas.openxmlformats.org/officeDocument/2006/relationships/hyperlink" Target="http://www.chinatimes.com/" TargetMode="External"/><Relationship Id="rId2" Type="http://schemas.openxmlformats.org/officeDocument/2006/relationships/hyperlink" Target="http://www.chinatimes.com/money/" TargetMode="External"/><Relationship Id="rId3" Type="http://schemas.openxmlformats.org/officeDocument/2006/relationships/hyperlink" Target="http://www.chinatimes.com/money/securities" TargetMode="External"/><Relationship Id="rId4" Type="http://schemas.openxmlformats.org/officeDocument/2006/relationships/hyperlink" Target="http://www.chinatimes.com/realtimenews/20160308001807-260410" TargetMode="External"/><Relationship Id="rId5" Type="http://schemas.openxmlformats.org/officeDocument/2006/relationships/hyperlink" Target="http://www.chinatimes.com/newspapers/20160308000264-260206" TargetMode="External"/><Relationship Id="rId6" Type="http://schemas.openxmlformats.org/officeDocument/2006/relationships/hyperlink" Target="http://www.chinatimes.com/newspapers/20160308000262-260206" TargetMode="External"/><Relationship Id="rId7" Type="http://schemas.openxmlformats.org/officeDocument/2006/relationships/hyperlink" Target="http://www.chinatimes.com/newspapers/20160308000260-260206" TargetMode="External"/><Relationship Id="rId8" Type="http://schemas.openxmlformats.org/officeDocument/2006/relationships/hyperlink" Target="http://www.chinatimes.com/newspapers/20160308000258-260206" TargetMode="External"/><Relationship Id="rId9" Type="http://schemas.openxmlformats.org/officeDocument/2006/relationships/hyperlink" Target="http://www.chinatimes.com/newspapers/20160308000255-260206" TargetMode="External"/><Relationship Id="rId30" Type="http://schemas.openxmlformats.org/officeDocument/2006/relationships/hyperlink" Target="http://www.chinatimes.com/newspapers/20160308000213-260206" TargetMode="External"/><Relationship Id="rId31" Type="http://schemas.openxmlformats.org/officeDocument/2006/relationships/hyperlink" Target="http://www.chinatimes.com/newspapers/20160308000212-260206" TargetMode="External"/><Relationship Id="rId32" Type="http://schemas.openxmlformats.org/officeDocument/2006/relationships/hyperlink" Target="http://www.chinatimes.com/newspapers/20160308000211-260206" TargetMode="External"/><Relationship Id="rId33" Type="http://schemas.openxmlformats.org/officeDocument/2006/relationships/hyperlink" Target="http://www.chinatimes.com/newspapers/20160308000210-260206" TargetMode="External"/><Relationship Id="rId34" Type="http://schemas.openxmlformats.org/officeDocument/2006/relationships/hyperlink" Target="http://www.chinatimes.com/money/securities?page=1" TargetMode="External"/><Relationship Id="rId35" Type="http://schemas.openxmlformats.org/officeDocument/2006/relationships/hyperlink" Target="http://www.chinatimes.com/money/securities?page=1" TargetMode="External"/><Relationship Id="rId36" Type="http://schemas.openxmlformats.org/officeDocument/2006/relationships/hyperlink" Target="http://www.chinatimes.com/money/securities?page=1" TargetMode="External"/><Relationship Id="rId37" Type="http://schemas.openxmlformats.org/officeDocument/2006/relationships/hyperlink" Target="http://www.chinatimes.com/money/securities?page=3" TargetMode="External"/><Relationship Id="rId38" Type="http://schemas.openxmlformats.org/officeDocument/2006/relationships/hyperlink" Target="http://www.chinatimes.com/money/securities?page=4" TargetMode="External"/><Relationship Id="rId39" Type="http://schemas.openxmlformats.org/officeDocument/2006/relationships/hyperlink" Target="http://www.chinatimes.com/money/securities?page=5" TargetMode="External"/><Relationship Id="rId20" Type="http://schemas.openxmlformats.org/officeDocument/2006/relationships/hyperlink" Target="http://www.chinatimes.com/newspapers/20160308000227-260206" TargetMode="External"/><Relationship Id="rId21" Type="http://schemas.openxmlformats.org/officeDocument/2006/relationships/hyperlink" Target="http://www.chinatimes.com/newspapers/20160308000226-260206" TargetMode="External"/><Relationship Id="rId22" Type="http://schemas.openxmlformats.org/officeDocument/2006/relationships/hyperlink" Target="http://www.chinatimes.com/newspapers/20160308000225-260206" TargetMode="External"/><Relationship Id="rId23" Type="http://schemas.openxmlformats.org/officeDocument/2006/relationships/hyperlink" Target="http://www.chinatimes.com/newspapers/20160308000224-260206" TargetMode="External"/><Relationship Id="rId24" Type="http://schemas.openxmlformats.org/officeDocument/2006/relationships/hyperlink" Target="http://www.chinatimes.com/newspapers/20160308000223-260206" TargetMode="External"/><Relationship Id="rId25" Type="http://schemas.openxmlformats.org/officeDocument/2006/relationships/hyperlink" Target="http://www.chinatimes.com/newspapers/20160308000221-260206" TargetMode="External"/><Relationship Id="rId26" Type="http://schemas.openxmlformats.org/officeDocument/2006/relationships/hyperlink" Target="http://www.chinatimes.com/newspapers/20160308000220-260206" TargetMode="External"/><Relationship Id="rId27" Type="http://schemas.openxmlformats.org/officeDocument/2006/relationships/hyperlink" Target="http://www.chinatimes.com/newspapers/20160308000218-260206" TargetMode="External"/><Relationship Id="rId28" Type="http://schemas.openxmlformats.org/officeDocument/2006/relationships/hyperlink" Target="http://www.chinatimes.com/newspapers/20160308000216-260206" TargetMode="External"/><Relationship Id="rId29" Type="http://schemas.openxmlformats.org/officeDocument/2006/relationships/hyperlink" Target="http://www.chinatimes.com/newspapers/20160308000214-260206" TargetMode="External"/><Relationship Id="rId10" Type="http://schemas.openxmlformats.org/officeDocument/2006/relationships/hyperlink" Target="http://www.chinatimes.com/newspapers/20160308000253-260206" TargetMode="External"/><Relationship Id="rId11" Type="http://schemas.openxmlformats.org/officeDocument/2006/relationships/hyperlink" Target="http://www.chinatimes.com/newspapers/20160308000252-260206" TargetMode="External"/><Relationship Id="rId12" Type="http://schemas.openxmlformats.org/officeDocument/2006/relationships/hyperlink" Target="http://www.chinatimes.com/newspapers/20160308000251-260206" TargetMode="External"/></Relationships>
</file>

<file path=xl/worksheets/_rels/sheet7.xml.rels><?xml version="1.0" encoding="UTF-8" standalone="yes"?>
<Relationships xmlns="http://schemas.openxmlformats.org/package/2006/relationships"><Relationship Id="rId106" Type="http://schemas.openxmlformats.org/officeDocument/2006/relationships/hyperlink" Target="http://udn.com/rank/newest/2/0/1" TargetMode="External"/><Relationship Id="rId107" Type="http://schemas.openxmlformats.org/officeDocument/2006/relationships/hyperlink" Target="http://udn.com/rank/newest/1/0/1" TargetMode="External"/><Relationship Id="rId108" Type="http://schemas.openxmlformats.org/officeDocument/2006/relationships/hyperlink" Target="http://udn.com/rank/newest/2/6638/1" TargetMode="External"/><Relationship Id="rId109" Type="http://schemas.openxmlformats.org/officeDocument/2006/relationships/hyperlink" Target="http://udn.com/rank/newest/2/6648/1" TargetMode="External"/><Relationship Id="rId345" Type="http://schemas.openxmlformats.org/officeDocument/2006/relationships/hyperlink" Target="http://fund.udn.com/" TargetMode="External"/><Relationship Id="rId346" Type="http://schemas.openxmlformats.org/officeDocument/2006/relationships/hyperlink" Target="http://house.udn.com/" TargetMode="External"/><Relationship Id="rId347" Type="http://schemas.openxmlformats.org/officeDocument/2006/relationships/hyperlink" Target="http://udn.com/mypage/slist" TargetMode="External"/><Relationship Id="rId348" Type="http://schemas.openxmlformats.org/officeDocument/2006/relationships/hyperlink" Target="http://mobile.udn.com/web/app.html" TargetMode="External"/><Relationship Id="rId349" Type="http://schemas.openxmlformats.org/officeDocument/2006/relationships/hyperlink" Target="http://udn.com/page/topic/496" TargetMode="External"/><Relationship Id="rId70" Type="http://schemas.openxmlformats.org/officeDocument/2006/relationships/hyperlink" Target="http://udn.com/news/cate/6649" TargetMode="External"/><Relationship Id="rId71" Type="http://schemas.openxmlformats.org/officeDocument/2006/relationships/hyperlink" Target="http://udn.com/news/cindex/1012" TargetMode="External"/><Relationship Id="rId72" Type="http://schemas.openxmlformats.org/officeDocument/2006/relationships/hyperlink" Target="http://udn.com/news/cate/6643" TargetMode="External"/><Relationship Id="rId73" Type="http://schemas.openxmlformats.org/officeDocument/2006/relationships/hyperlink" Target="http://udn.com/news/cate/6641" TargetMode="External"/><Relationship Id="rId74" Type="http://schemas.openxmlformats.org/officeDocument/2006/relationships/hyperlink" Target="http://udn.com/news/cate/6640" TargetMode="External"/><Relationship Id="rId75" Type="http://schemas.openxmlformats.org/officeDocument/2006/relationships/hyperlink" Target="http://udn.com/news/cate/7226" TargetMode="External"/><Relationship Id="rId76" Type="http://schemas.openxmlformats.org/officeDocument/2006/relationships/hyperlink" Target="http://udn.com/news/cindex/1013" TargetMode="External"/><Relationship Id="rId77" Type="http://schemas.openxmlformats.org/officeDocument/2006/relationships/hyperlink" Target="http://udn.com/news/cindex/1014" TargetMode="External"/><Relationship Id="rId78" Type="http://schemas.openxmlformats.org/officeDocument/2006/relationships/hyperlink" Target="http://udn.com/news/cindex/1015" TargetMode="External"/><Relationship Id="rId79" Type="http://schemas.openxmlformats.org/officeDocument/2006/relationships/hyperlink" Target="http://shopping.udn.com/mall/Cc1a00.do?sid=94_udn&amp;utm_source=udn.com&amp;utm_medium=referral_navi_udn&amp;utm_term=navibar_udn&amp;utm_campaign=20150103_UDN" TargetMode="External"/><Relationship Id="rId170" Type="http://schemas.openxmlformats.org/officeDocument/2006/relationships/hyperlink" Target="http://udn.com/news/story/7241/1548025" TargetMode="External"/><Relationship Id="rId171" Type="http://schemas.openxmlformats.org/officeDocument/2006/relationships/hyperlink" Target="http://udn.com/news/story/7239/1548108" TargetMode="External"/><Relationship Id="rId172" Type="http://schemas.openxmlformats.org/officeDocument/2006/relationships/hyperlink" Target="http://udn.com/news/story/7239/1548108" TargetMode="External"/><Relationship Id="rId173" Type="http://schemas.openxmlformats.org/officeDocument/2006/relationships/hyperlink" Target="http://udn.com/news/story/7239/1548118" TargetMode="External"/><Relationship Id="rId174" Type="http://schemas.openxmlformats.org/officeDocument/2006/relationships/hyperlink" Target="http://udn.com/news/story/7239/1548118" TargetMode="External"/><Relationship Id="rId175" Type="http://schemas.openxmlformats.org/officeDocument/2006/relationships/hyperlink" Target="http://udn.com/news/story/7239/1548119" TargetMode="External"/><Relationship Id="rId176" Type="http://schemas.openxmlformats.org/officeDocument/2006/relationships/hyperlink" Target="http://udn.com/news/story/7239/1548119" TargetMode="External"/><Relationship Id="rId177" Type="http://schemas.openxmlformats.org/officeDocument/2006/relationships/hyperlink" Target="http://udn.com/news/story/7239/1548109" TargetMode="External"/><Relationship Id="rId178" Type="http://schemas.openxmlformats.org/officeDocument/2006/relationships/hyperlink" Target="http://udn.com/news/story/7239/1548109" TargetMode="External"/><Relationship Id="rId179" Type="http://schemas.openxmlformats.org/officeDocument/2006/relationships/hyperlink" Target="http://udn.com/news/story/7239/1548116" TargetMode="External"/><Relationship Id="rId260" Type="http://schemas.openxmlformats.org/officeDocument/2006/relationships/hyperlink" Target="http://udn.com/news/cate/7226" TargetMode="External"/><Relationship Id="rId10" Type="http://schemas.openxmlformats.org/officeDocument/2006/relationships/hyperlink" Target="http://house.udn.com/" TargetMode="External"/><Relationship Id="rId11" Type="http://schemas.openxmlformats.org/officeDocument/2006/relationships/hyperlink" Target="http://reading.udn.com/" TargetMode="External"/><Relationship Id="rId12" Type="http://schemas.openxmlformats.org/officeDocument/2006/relationships/hyperlink" Target="http://novel.udn.com/" TargetMode="External"/><Relationship Id="rId13" Type="http://schemas.openxmlformats.org/officeDocument/2006/relationships/hyperlink" Target="http://autos.udn.com/" TargetMode="External"/><Relationship Id="rId14" Type="http://schemas.openxmlformats.org/officeDocument/2006/relationships/hyperlink" Target="http://style.udn.com/" TargetMode="External"/><Relationship Id="rId15" Type="http://schemas.openxmlformats.org/officeDocument/2006/relationships/hyperlink" Target="javascript:void(0);" TargetMode="External"/><Relationship Id="rId16" Type="http://schemas.openxmlformats.org/officeDocument/2006/relationships/hyperlink" Target="http://vote2016.udn.com/vote2016/" TargetMode="External"/><Relationship Id="rId17" Type="http://schemas.openxmlformats.org/officeDocument/2006/relationships/hyperlink" Target="http://opinion.udn.com/" TargetMode="External"/><Relationship Id="rId18" Type="http://schemas.openxmlformats.org/officeDocument/2006/relationships/hyperlink" Target="http://global.udn.com/" TargetMode="External"/><Relationship Id="rId19" Type="http://schemas.openxmlformats.org/officeDocument/2006/relationships/hyperlink" Target="http://fund.udn.com/" TargetMode="External"/><Relationship Id="rId261" Type="http://schemas.openxmlformats.org/officeDocument/2006/relationships/hyperlink" Target="http://udn.com/news/cate/6648" TargetMode="External"/><Relationship Id="rId262" Type="http://schemas.openxmlformats.org/officeDocument/2006/relationships/hyperlink" Target="http://udn.com/news/cate/6649" TargetMode="External"/><Relationship Id="rId263" Type="http://schemas.openxmlformats.org/officeDocument/2006/relationships/hyperlink" Target="http://udn.com/news/cindex/1012" TargetMode="External"/><Relationship Id="rId264" Type="http://schemas.openxmlformats.org/officeDocument/2006/relationships/hyperlink" Target="http://udn.com/news/cindex/1013" TargetMode="External"/><Relationship Id="rId110" Type="http://schemas.openxmlformats.org/officeDocument/2006/relationships/hyperlink" Target="http://udn.com/rank/newest/2/7227/1" TargetMode="External"/><Relationship Id="rId111" Type="http://schemas.openxmlformats.org/officeDocument/2006/relationships/hyperlink" Target="http://udn.com/rank/newest/2/7225/1" TargetMode="External"/><Relationship Id="rId112" Type="http://schemas.openxmlformats.org/officeDocument/2006/relationships/hyperlink" Target="http://udn.com/rank/newest/2/6639/1" TargetMode="External"/><Relationship Id="rId113" Type="http://schemas.openxmlformats.org/officeDocument/2006/relationships/hyperlink" Target="http://udn.com/rank/newest/2/6644/1" TargetMode="External"/><Relationship Id="rId114" Type="http://schemas.openxmlformats.org/officeDocument/2006/relationships/hyperlink" Target="http://udn.com/rank/newest/2/6645/1" TargetMode="External"/><Relationship Id="rId115" Type="http://schemas.openxmlformats.org/officeDocument/2006/relationships/hyperlink" Target="http://udn.com/rank/newest/2/6649/1" TargetMode="External"/><Relationship Id="rId116" Type="http://schemas.openxmlformats.org/officeDocument/2006/relationships/hyperlink" Target="http://udn.com/rank/newest/1012/0/1" TargetMode="External"/><Relationship Id="rId117" Type="http://schemas.openxmlformats.org/officeDocument/2006/relationships/hyperlink" Target="http://udn.com/rank/newest/2/6643/1" TargetMode="External"/><Relationship Id="rId118" Type="http://schemas.openxmlformats.org/officeDocument/2006/relationships/hyperlink" Target="http://udn.com/rank/newest/2/6641/1" TargetMode="External"/><Relationship Id="rId119" Type="http://schemas.openxmlformats.org/officeDocument/2006/relationships/hyperlink" Target="http://udn.com/rank/newest/2/6640/1" TargetMode="External"/><Relationship Id="rId200" Type="http://schemas.openxmlformats.org/officeDocument/2006/relationships/hyperlink" Target="http://udn.com/news/story/9523/1548139" TargetMode="External"/><Relationship Id="rId201" Type="http://schemas.openxmlformats.org/officeDocument/2006/relationships/hyperlink" Target="http://udn.com/news/story/7240/1548010" TargetMode="External"/><Relationship Id="rId202" Type="http://schemas.openxmlformats.org/officeDocument/2006/relationships/hyperlink" Target="http://udn.com/news/story/7240/1548010" TargetMode="External"/><Relationship Id="rId203" Type="http://schemas.openxmlformats.org/officeDocument/2006/relationships/hyperlink" Target="http://udn.com/news/story/7240/1548007" TargetMode="External"/><Relationship Id="rId204" Type="http://schemas.openxmlformats.org/officeDocument/2006/relationships/hyperlink" Target="http://udn.com/news/story/7240/1548007" TargetMode="External"/><Relationship Id="rId205" Type="http://schemas.openxmlformats.org/officeDocument/2006/relationships/hyperlink" Target="http://udn.com/news/story/7240/1548008" TargetMode="External"/><Relationship Id="rId206" Type="http://schemas.openxmlformats.org/officeDocument/2006/relationships/hyperlink" Target="http://udn.com/news/story/7240/1548008" TargetMode="External"/><Relationship Id="rId207" Type="http://schemas.openxmlformats.org/officeDocument/2006/relationships/hyperlink" Target="http://udn.com/news/story/7240/1547473" TargetMode="External"/><Relationship Id="rId208" Type="http://schemas.openxmlformats.org/officeDocument/2006/relationships/hyperlink" Target="http://udn.com/news/story/7240/1547473" TargetMode="External"/><Relationship Id="rId209" Type="http://schemas.openxmlformats.org/officeDocument/2006/relationships/hyperlink" Target="http://udn.com/news/story/7241/1548016" TargetMode="External"/><Relationship Id="rId265" Type="http://schemas.openxmlformats.org/officeDocument/2006/relationships/hyperlink" Target="http://udn.com/news/cindex/1014" TargetMode="External"/><Relationship Id="rId266" Type="http://schemas.openxmlformats.org/officeDocument/2006/relationships/hyperlink" Target="http://udn.com/news/cindex/1015" TargetMode="External"/><Relationship Id="rId267" Type="http://schemas.openxmlformats.org/officeDocument/2006/relationships/hyperlink" Target="http://theme.udn.com/theme/index" TargetMode="External"/><Relationship Id="rId268" Type="http://schemas.openxmlformats.org/officeDocument/2006/relationships/hyperlink" Target="http://global.udn.com/" TargetMode="External"/><Relationship Id="rId269" Type="http://schemas.openxmlformats.org/officeDocument/2006/relationships/hyperlink" Target="http://opinion.udn.com/" TargetMode="External"/><Relationship Id="rId350" Type="http://schemas.openxmlformats.org/officeDocument/2006/relationships/hyperlink" Target="http://udn.com/page/topic/185" TargetMode="External"/><Relationship Id="rId351" Type="http://schemas.openxmlformats.org/officeDocument/2006/relationships/hyperlink" Target="http://udn.com/page/topic/871" TargetMode="External"/><Relationship Id="rId352" Type="http://schemas.openxmlformats.org/officeDocument/2006/relationships/queryTable" Target="../queryTables/queryTable5.xml"/><Relationship Id="rId1" Type="http://schemas.openxmlformats.org/officeDocument/2006/relationships/hyperlink" Target="http://shopping.udn.com/mall/Cc1a00.do?sid=91_udn&amp;utm_source=udn.com&amp;utm_medium=referral_familybar_udn&amp;utm_term=familybar_udn&amp;utm_campaign=20150103_UDN" TargetMode="External"/><Relationship Id="rId2" Type="http://schemas.openxmlformats.org/officeDocument/2006/relationships/hyperlink" Target="http://shopping.udn.com/mall/cus/gbr/Cc1g00.do?sid=91_uD&amp;utm_source=udn.com&amp;utm_medium=referral_familybar_uD&amp;utm_term=familybar_uD&amp;utm_campaign=20150103_UDN" TargetMode="External"/><Relationship Id="rId3" Type="http://schemas.openxmlformats.org/officeDocument/2006/relationships/hyperlink" Target="http://nba.udn.com/" TargetMode="External"/><Relationship Id="rId4" Type="http://schemas.openxmlformats.org/officeDocument/2006/relationships/hyperlink" Target="http://stars.udn.com/" TargetMode="External"/><Relationship Id="rId5" Type="http://schemas.openxmlformats.org/officeDocument/2006/relationships/hyperlink" Target="http://health.udn.com/" TargetMode="External"/><Relationship Id="rId6" Type="http://schemas.openxmlformats.org/officeDocument/2006/relationships/hyperlink" Target="http://vote2016.udn.com/vote2016/" TargetMode="External"/><Relationship Id="rId7" Type="http://schemas.openxmlformats.org/officeDocument/2006/relationships/hyperlink" Target="http://opinion.udn.com/" TargetMode="External"/><Relationship Id="rId8" Type="http://schemas.openxmlformats.org/officeDocument/2006/relationships/hyperlink" Target="http://global.udn.com/" TargetMode="External"/><Relationship Id="rId9" Type="http://schemas.openxmlformats.org/officeDocument/2006/relationships/hyperlink" Target="http://fund.udn.com/" TargetMode="External"/><Relationship Id="rId80" Type="http://schemas.openxmlformats.org/officeDocument/2006/relationships/hyperlink" Target="http://udn.com/" TargetMode="External"/><Relationship Id="rId81" Type="http://schemas.openxmlformats.org/officeDocument/2006/relationships/hyperlink" Target="http://udn.com/news/breaknews/1" TargetMode="External"/><Relationship Id="rId82" Type="http://schemas.openxmlformats.org/officeDocument/2006/relationships/hyperlink" Target="http://udn.com/rank/pv/2" TargetMode="External"/><Relationship Id="rId83" Type="http://schemas.openxmlformats.org/officeDocument/2006/relationships/hyperlink" Target="http://udn.com/news/cate/6638" TargetMode="External"/><Relationship Id="rId84" Type="http://schemas.openxmlformats.org/officeDocument/2006/relationships/hyperlink" Target="http://udn.com/news/cate/6648" TargetMode="External"/><Relationship Id="rId85" Type="http://schemas.openxmlformats.org/officeDocument/2006/relationships/hyperlink" Target="http://udn.com/news/cate/7227" TargetMode="External"/><Relationship Id="rId86" Type="http://schemas.openxmlformats.org/officeDocument/2006/relationships/hyperlink" Target="http://udn.com/news/cate/7225" TargetMode="External"/><Relationship Id="rId87" Type="http://schemas.openxmlformats.org/officeDocument/2006/relationships/hyperlink" Target="http://udn.com/news/cate/6639" TargetMode="External"/><Relationship Id="rId88" Type="http://schemas.openxmlformats.org/officeDocument/2006/relationships/hyperlink" Target="http://udn.com/news/cate/6644" TargetMode="External"/><Relationship Id="rId89" Type="http://schemas.openxmlformats.org/officeDocument/2006/relationships/hyperlink" Target="http://udn.com/news/cate/6645" TargetMode="External"/><Relationship Id="rId180" Type="http://schemas.openxmlformats.org/officeDocument/2006/relationships/hyperlink" Target="http://udn.com/news/story/7239/1548116" TargetMode="External"/><Relationship Id="rId181" Type="http://schemas.openxmlformats.org/officeDocument/2006/relationships/hyperlink" Target="http://udn.com/news/story/7239/1548120" TargetMode="External"/><Relationship Id="rId182" Type="http://schemas.openxmlformats.org/officeDocument/2006/relationships/hyperlink" Target="http://udn.com/news/story/7239/1548120" TargetMode="External"/><Relationship Id="rId183" Type="http://schemas.openxmlformats.org/officeDocument/2006/relationships/hyperlink" Target="http://udn.com/news/story/7239/1548126" TargetMode="External"/><Relationship Id="rId184" Type="http://schemas.openxmlformats.org/officeDocument/2006/relationships/hyperlink" Target="http://udn.com/news/story/7239/1548126" TargetMode="External"/><Relationship Id="rId185" Type="http://schemas.openxmlformats.org/officeDocument/2006/relationships/hyperlink" Target="http://udn.com/news/story/7239/1548133" TargetMode="External"/><Relationship Id="rId186" Type="http://schemas.openxmlformats.org/officeDocument/2006/relationships/hyperlink" Target="http://udn.com/news/story/7239/1548133" TargetMode="External"/><Relationship Id="rId187" Type="http://schemas.openxmlformats.org/officeDocument/2006/relationships/hyperlink" Target="http://udn.com/news/story/7238/1548141" TargetMode="External"/><Relationship Id="rId188" Type="http://schemas.openxmlformats.org/officeDocument/2006/relationships/hyperlink" Target="http://udn.com/news/story/7238/1548141" TargetMode="External"/><Relationship Id="rId189" Type="http://schemas.openxmlformats.org/officeDocument/2006/relationships/hyperlink" Target="http://udn.com/news/story/7238/1547564" TargetMode="External"/><Relationship Id="rId270" Type="http://schemas.openxmlformats.org/officeDocument/2006/relationships/hyperlink" Target="http://debate.udn.com/" TargetMode="External"/><Relationship Id="rId20" Type="http://schemas.openxmlformats.org/officeDocument/2006/relationships/hyperlink" Target="http://house.udn.com/" TargetMode="External"/><Relationship Id="rId21" Type="http://schemas.openxmlformats.org/officeDocument/2006/relationships/hyperlink" Target="http://reading.udn.com/" TargetMode="External"/><Relationship Id="rId22" Type="http://schemas.openxmlformats.org/officeDocument/2006/relationships/hyperlink" Target="http://novel.udn.com/" TargetMode="External"/><Relationship Id="rId23" Type="http://schemas.openxmlformats.org/officeDocument/2006/relationships/hyperlink" Target="http://autos.udn.com/" TargetMode="External"/><Relationship Id="rId24" Type="http://schemas.openxmlformats.org/officeDocument/2006/relationships/hyperlink" Target="http://style.udn.com/" TargetMode="External"/><Relationship Id="rId25" Type="http://schemas.openxmlformats.org/officeDocument/2006/relationships/hyperlink" Target="http://theme.udn.com/" TargetMode="External"/><Relationship Id="rId26" Type="http://schemas.openxmlformats.org/officeDocument/2006/relationships/hyperlink" Target="http://vision.udn.com/" TargetMode="External"/><Relationship Id="rId27" Type="http://schemas.openxmlformats.org/officeDocument/2006/relationships/hyperlink" Target="http://money.udn.com/" TargetMode="External"/><Relationship Id="rId28" Type="http://schemas.openxmlformats.org/officeDocument/2006/relationships/hyperlink" Target="http://www.cens.com/cens/html/zh/" TargetMode="External"/><Relationship Id="rId29" Type="http://schemas.openxmlformats.org/officeDocument/2006/relationships/hyperlink" Target="http://oops.udn.com/" TargetMode="External"/><Relationship Id="rId271" Type="http://schemas.openxmlformats.org/officeDocument/2006/relationships/hyperlink" Target="http://udn.com/rank/newest/2/0" TargetMode="External"/><Relationship Id="rId272" Type="http://schemas.openxmlformats.org/officeDocument/2006/relationships/hyperlink" Target="http://udn.com/rank/pv/2" TargetMode="External"/><Relationship Id="rId273" Type="http://schemas.openxmlformats.org/officeDocument/2006/relationships/hyperlink" Target="http://udn.com/rank/share/2/0" TargetMode="External"/><Relationship Id="rId274" Type="http://schemas.openxmlformats.org/officeDocument/2006/relationships/hyperlink" Target="http://health.udn.com/disease/disease_list" TargetMode="External"/><Relationship Id="rId120" Type="http://schemas.openxmlformats.org/officeDocument/2006/relationships/hyperlink" Target="http://udn.com/rank/newest/2/7226/1" TargetMode="External"/><Relationship Id="rId121" Type="http://schemas.openxmlformats.org/officeDocument/2006/relationships/hyperlink" Target="http://udn.com/rank/newest/1013/0/1" TargetMode="External"/><Relationship Id="rId122" Type="http://schemas.openxmlformats.org/officeDocument/2006/relationships/hyperlink" Target="http://udn.com/rank/newest/1014/0/1" TargetMode="External"/><Relationship Id="rId123" Type="http://schemas.openxmlformats.org/officeDocument/2006/relationships/hyperlink" Target="http://udn.com/rank/newest/1015/0/1" TargetMode="External"/><Relationship Id="rId124" Type="http://schemas.openxmlformats.org/officeDocument/2006/relationships/hyperlink" Target="http://udn.com/rank/newest/2/6644" TargetMode="External"/><Relationship Id="rId125" Type="http://schemas.openxmlformats.org/officeDocument/2006/relationships/hyperlink" Target="http://udn.com/rank/pv/2/6644" TargetMode="External"/><Relationship Id="rId126" Type="http://schemas.openxmlformats.org/officeDocument/2006/relationships/hyperlink" Target="http://udn.com/rank/share/2/6644" TargetMode="External"/><Relationship Id="rId127" Type="http://schemas.openxmlformats.org/officeDocument/2006/relationships/hyperlink" Target="http://udn.com/news/story/7241/1547887" TargetMode="External"/><Relationship Id="rId128" Type="http://schemas.openxmlformats.org/officeDocument/2006/relationships/hyperlink" Target="http://udn.com/news/story/7241/1547887" TargetMode="External"/><Relationship Id="rId129" Type="http://schemas.openxmlformats.org/officeDocument/2006/relationships/hyperlink" Target="http://udn.com/news/story/7241/1547916" TargetMode="External"/><Relationship Id="rId210" Type="http://schemas.openxmlformats.org/officeDocument/2006/relationships/hyperlink" Target="http://udn.com/news/story/7241/1548016" TargetMode="External"/><Relationship Id="rId211" Type="http://schemas.openxmlformats.org/officeDocument/2006/relationships/hyperlink" Target="http://udn.com/news/story/7241/1548148" TargetMode="External"/><Relationship Id="rId212" Type="http://schemas.openxmlformats.org/officeDocument/2006/relationships/hyperlink" Target="http://udn.com/news/story/7241/1548148" TargetMode="External"/><Relationship Id="rId213" Type="http://schemas.openxmlformats.org/officeDocument/2006/relationships/hyperlink" Target="http://udn.com/news/story/7241/1548149" TargetMode="External"/><Relationship Id="rId214" Type="http://schemas.openxmlformats.org/officeDocument/2006/relationships/hyperlink" Target="http://udn.com/news/story/7241/1548149" TargetMode="External"/><Relationship Id="rId215" Type="http://schemas.openxmlformats.org/officeDocument/2006/relationships/hyperlink" Target="http://udn.com/news/story/7239/1548150" TargetMode="External"/><Relationship Id="rId216" Type="http://schemas.openxmlformats.org/officeDocument/2006/relationships/hyperlink" Target="http://udn.com/news/story/7239/1548150" TargetMode="External"/><Relationship Id="rId217" Type="http://schemas.openxmlformats.org/officeDocument/2006/relationships/hyperlink" Target="http://udn.com/news/story/7239/1548151" TargetMode="External"/><Relationship Id="rId218" Type="http://schemas.openxmlformats.org/officeDocument/2006/relationships/hyperlink" Target="http://udn.com/news/story/7239/1548151" TargetMode="External"/><Relationship Id="rId219" Type="http://schemas.openxmlformats.org/officeDocument/2006/relationships/hyperlink" Target="http://udn.com/news/story/7239/1548152" TargetMode="External"/><Relationship Id="rId275" Type="http://schemas.openxmlformats.org/officeDocument/2006/relationships/hyperlink" Target="http://health.udn.com/health/cate/5681" TargetMode="External"/><Relationship Id="rId276" Type="http://schemas.openxmlformats.org/officeDocument/2006/relationships/hyperlink" Target="http://health.udn.com/health/cate/5680/" TargetMode="External"/><Relationship Id="rId277" Type="http://schemas.openxmlformats.org/officeDocument/2006/relationships/hyperlink" Target="http://health.udn.com/health/cate/5683" TargetMode="External"/><Relationship Id="rId278" Type="http://schemas.openxmlformats.org/officeDocument/2006/relationships/hyperlink" Target="http://health.udn.com/health/cate/5684" TargetMode="External"/><Relationship Id="rId279" Type="http://schemas.openxmlformats.org/officeDocument/2006/relationships/hyperlink" Target="http://health.udn.com/health/cate/5685" TargetMode="External"/><Relationship Id="rId300" Type="http://schemas.openxmlformats.org/officeDocument/2006/relationships/hyperlink" Target="http://stars.udn.com/stars/calendar" TargetMode="External"/><Relationship Id="rId301" Type="http://schemas.openxmlformats.org/officeDocument/2006/relationships/hyperlink" Target="http://autos.udn.com/autos/cate/7824" TargetMode="External"/><Relationship Id="rId302" Type="http://schemas.openxmlformats.org/officeDocument/2006/relationships/hyperlink" Target="http://autos.udn.com/autos/cate/7823" TargetMode="External"/><Relationship Id="rId303" Type="http://schemas.openxmlformats.org/officeDocument/2006/relationships/hyperlink" Target="http://autos.udn.com/autos/cate/7821" TargetMode="External"/><Relationship Id="rId304" Type="http://schemas.openxmlformats.org/officeDocument/2006/relationships/hyperlink" Target="http://autos.udn.com/autos/cate/7820" TargetMode="External"/><Relationship Id="rId305" Type="http://schemas.openxmlformats.org/officeDocument/2006/relationships/hyperlink" Target="http://autos.udn.com/autos/cate/7818" TargetMode="External"/><Relationship Id="rId306" Type="http://schemas.openxmlformats.org/officeDocument/2006/relationships/hyperlink" Target="http://style.udn.com/style/cate/8052" TargetMode="External"/><Relationship Id="rId307" Type="http://schemas.openxmlformats.org/officeDocument/2006/relationships/hyperlink" Target="http://style.udn.com/style/cate/8053" TargetMode="External"/><Relationship Id="rId308" Type="http://schemas.openxmlformats.org/officeDocument/2006/relationships/hyperlink" Target="http://style.udn.com/style/cate/8054" TargetMode="External"/><Relationship Id="rId309" Type="http://schemas.openxmlformats.org/officeDocument/2006/relationships/hyperlink" Target="http://style.udn.com/style/cate/8055" TargetMode="External"/><Relationship Id="rId90" Type="http://schemas.openxmlformats.org/officeDocument/2006/relationships/hyperlink" Target="http://health.udn.com/" TargetMode="External"/><Relationship Id="rId91" Type="http://schemas.openxmlformats.org/officeDocument/2006/relationships/hyperlink" Target="http://udn.com/news/cate/6649" TargetMode="External"/><Relationship Id="rId92" Type="http://schemas.openxmlformats.org/officeDocument/2006/relationships/hyperlink" Target="http://udn.com/news/cindex/1012" TargetMode="External"/><Relationship Id="rId93" Type="http://schemas.openxmlformats.org/officeDocument/2006/relationships/hyperlink" Target="http://udn.com/news/cate/6643" TargetMode="External"/><Relationship Id="rId94" Type="http://schemas.openxmlformats.org/officeDocument/2006/relationships/hyperlink" Target="http://udn.com/news/cate/6641" TargetMode="External"/><Relationship Id="rId95" Type="http://schemas.openxmlformats.org/officeDocument/2006/relationships/hyperlink" Target="http://udn.com/news/cate/6640" TargetMode="External"/><Relationship Id="rId96" Type="http://schemas.openxmlformats.org/officeDocument/2006/relationships/hyperlink" Target="http://udn.com/news/cate/7226" TargetMode="External"/><Relationship Id="rId97" Type="http://schemas.openxmlformats.org/officeDocument/2006/relationships/hyperlink" Target="http://udn.com/news/cindex/1013" TargetMode="External"/><Relationship Id="rId98" Type="http://schemas.openxmlformats.org/officeDocument/2006/relationships/hyperlink" Target="http://udn.com/news/cindex/1014" TargetMode="External"/><Relationship Id="rId99" Type="http://schemas.openxmlformats.org/officeDocument/2006/relationships/hyperlink" Target="http://udn.com/news/cindex/1015" TargetMode="External"/><Relationship Id="rId190" Type="http://schemas.openxmlformats.org/officeDocument/2006/relationships/hyperlink" Target="http://udn.com/news/story/7238/1547564" TargetMode="External"/><Relationship Id="rId191" Type="http://schemas.openxmlformats.org/officeDocument/2006/relationships/hyperlink" Target="http://udn.com/news/story/7238/1548103" TargetMode="External"/><Relationship Id="rId192" Type="http://schemas.openxmlformats.org/officeDocument/2006/relationships/hyperlink" Target="http://udn.com/news/story/7238/1548103" TargetMode="External"/><Relationship Id="rId193" Type="http://schemas.openxmlformats.org/officeDocument/2006/relationships/hyperlink" Target="http://udn.com/news/story/7238/1548098" TargetMode="External"/><Relationship Id="rId194" Type="http://schemas.openxmlformats.org/officeDocument/2006/relationships/hyperlink" Target="http://udn.com/news/story/7238/1548098" TargetMode="External"/><Relationship Id="rId195" Type="http://schemas.openxmlformats.org/officeDocument/2006/relationships/hyperlink" Target="http://udn.com/news/story/7238/1548096" TargetMode="External"/><Relationship Id="rId196" Type="http://schemas.openxmlformats.org/officeDocument/2006/relationships/hyperlink" Target="http://udn.com/news/story/7238/1548096" TargetMode="External"/><Relationship Id="rId197" Type="http://schemas.openxmlformats.org/officeDocument/2006/relationships/hyperlink" Target="http://udn.com/news/story/7238/1548169" TargetMode="External"/><Relationship Id="rId198" Type="http://schemas.openxmlformats.org/officeDocument/2006/relationships/hyperlink" Target="http://udn.com/news/story/7238/1548169" TargetMode="External"/><Relationship Id="rId199" Type="http://schemas.openxmlformats.org/officeDocument/2006/relationships/hyperlink" Target="http://udn.com/news/story/9523/1548139" TargetMode="External"/><Relationship Id="rId280" Type="http://schemas.openxmlformats.org/officeDocument/2006/relationships/hyperlink" Target="http://money.udn.com/money/cate/5594" TargetMode="External"/><Relationship Id="rId30" Type="http://schemas.openxmlformats.org/officeDocument/2006/relationships/hyperlink" Target="http://blog.udn.com/" TargetMode="External"/><Relationship Id="rId31" Type="http://schemas.openxmlformats.org/officeDocument/2006/relationships/hyperlink" Target="http://utravel.udn.com/" TargetMode="External"/><Relationship Id="rId32" Type="http://schemas.openxmlformats.org/officeDocument/2006/relationships/hyperlink" Target="http://metrojoker.com/upaper" TargetMode="External"/><Relationship Id="rId33" Type="http://schemas.openxmlformats.org/officeDocument/2006/relationships/hyperlink" Target="http://udndata.com/" TargetMode="External"/><Relationship Id="rId34" Type="http://schemas.openxmlformats.org/officeDocument/2006/relationships/hyperlink" Target="http://paper.udn.com/" TargetMode="External"/><Relationship Id="rId35" Type="http://schemas.openxmlformats.org/officeDocument/2006/relationships/hyperlink" Target="https://tickets.udn.com/" TargetMode="External"/><Relationship Id="rId36" Type="http://schemas.openxmlformats.org/officeDocument/2006/relationships/hyperlink" Target="http://video.udn.com/" TargetMode="External"/><Relationship Id="rId37" Type="http://schemas.openxmlformats.org/officeDocument/2006/relationships/hyperlink" Target="http://ugood.udn.com/" TargetMode="External"/><Relationship Id="rId38" Type="http://schemas.openxmlformats.org/officeDocument/2006/relationships/hyperlink" Target="http://vision.udn.com/" TargetMode="External"/><Relationship Id="rId39" Type="http://schemas.openxmlformats.org/officeDocument/2006/relationships/hyperlink" Target="http://money.udn.com/" TargetMode="External"/><Relationship Id="rId281" Type="http://schemas.openxmlformats.org/officeDocument/2006/relationships/hyperlink" Target="http://money.udn.com/money/cate/5595" TargetMode="External"/><Relationship Id="rId282" Type="http://schemas.openxmlformats.org/officeDocument/2006/relationships/hyperlink" Target="http://fund.udn.com/" TargetMode="External"/><Relationship Id="rId283" Type="http://schemas.openxmlformats.org/officeDocument/2006/relationships/hyperlink" Target="http://house.udn.com/" TargetMode="External"/><Relationship Id="rId284" Type="http://schemas.openxmlformats.org/officeDocument/2006/relationships/hyperlink" Target="http://udn.com/lotto/" TargetMode="External"/><Relationship Id="rId130" Type="http://schemas.openxmlformats.org/officeDocument/2006/relationships/hyperlink" Target="http://udn.com/news/story/7241/1547916" TargetMode="External"/><Relationship Id="rId131" Type="http://schemas.openxmlformats.org/officeDocument/2006/relationships/hyperlink" Target="http://udn.com/news/story/7241/1547949" TargetMode="External"/><Relationship Id="rId132" Type="http://schemas.openxmlformats.org/officeDocument/2006/relationships/hyperlink" Target="http://udn.com/news/story/7241/1547949" TargetMode="External"/><Relationship Id="rId133" Type="http://schemas.openxmlformats.org/officeDocument/2006/relationships/hyperlink" Target="http://udn.com/news/story/7241/1547865" TargetMode="External"/><Relationship Id="rId220" Type="http://schemas.openxmlformats.org/officeDocument/2006/relationships/hyperlink" Target="http://udn.com/news/story/7239/1548152" TargetMode="External"/><Relationship Id="rId221" Type="http://schemas.openxmlformats.org/officeDocument/2006/relationships/hyperlink" Target="http://udn.com/news/story/7239/1548153" TargetMode="External"/><Relationship Id="rId222" Type="http://schemas.openxmlformats.org/officeDocument/2006/relationships/hyperlink" Target="http://udn.com/news/story/7239/1548153" TargetMode="External"/><Relationship Id="rId223" Type="http://schemas.openxmlformats.org/officeDocument/2006/relationships/hyperlink" Target="http://udn.com/news/story/7239/1547474" TargetMode="External"/><Relationship Id="rId224" Type="http://schemas.openxmlformats.org/officeDocument/2006/relationships/hyperlink" Target="http://udn.com/news/story/7239/1547474" TargetMode="External"/><Relationship Id="rId225" Type="http://schemas.openxmlformats.org/officeDocument/2006/relationships/hyperlink" Target="http://udn.com/news/story/7238/1548102" TargetMode="External"/><Relationship Id="rId226" Type="http://schemas.openxmlformats.org/officeDocument/2006/relationships/hyperlink" Target="http://udn.com/news/story/7238/1548102" TargetMode="External"/><Relationship Id="rId227" Type="http://schemas.openxmlformats.org/officeDocument/2006/relationships/hyperlink" Target="http://udn.com/news/story/7238/1548101" TargetMode="External"/><Relationship Id="rId228" Type="http://schemas.openxmlformats.org/officeDocument/2006/relationships/hyperlink" Target="http://udn.com/news/story/7238/1548101" TargetMode="External"/><Relationship Id="rId229" Type="http://schemas.openxmlformats.org/officeDocument/2006/relationships/hyperlink" Target="http://udn.com/news/story/7238/1548094" TargetMode="External"/><Relationship Id="rId134" Type="http://schemas.openxmlformats.org/officeDocument/2006/relationships/hyperlink" Target="http://udn.com/news/story/7241/1547865" TargetMode="External"/><Relationship Id="rId135" Type="http://schemas.openxmlformats.org/officeDocument/2006/relationships/hyperlink" Target="http://udn.com/news/story/7241/1547868" TargetMode="External"/><Relationship Id="rId136" Type="http://schemas.openxmlformats.org/officeDocument/2006/relationships/hyperlink" Target="http://udn.com/news/story/7241/1547868" TargetMode="External"/><Relationship Id="rId137" Type="http://schemas.openxmlformats.org/officeDocument/2006/relationships/hyperlink" Target="http://udn.com/news/story/7241/1547811" TargetMode="External"/><Relationship Id="rId138" Type="http://schemas.openxmlformats.org/officeDocument/2006/relationships/hyperlink" Target="http://udn.com/news/story/7241/1547811" TargetMode="External"/><Relationship Id="rId139" Type="http://schemas.openxmlformats.org/officeDocument/2006/relationships/hyperlink" Target="http://udn.com/news/story/7244/1547755" TargetMode="External"/><Relationship Id="rId285" Type="http://schemas.openxmlformats.org/officeDocument/2006/relationships/hyperlink" Target="http://udn.com/invoice/" TargetMode="External"/><Relationship Id="rId286" Type="http://schemas.openxmlformats.org/officeDocument/2006/relationships/hyperlink" Target="http://www.cens.com/cens/html/zh/" TargetMode="External"/><Relationship Id="rId287" Type="http://schemas.openxmlformats.org/officeDocument/2006/relationships/hyperlink" Target="http://tw.global.nba.com/scores/" TargetMode="External"/><Relationship Id="rId288" Type="http://schemas.openxmlformats.org/officeDocument/2006/relationships/hyperlink" Target="http://tw.global.nba.com/schedule/" TargetMode="External"/><Relationship Id="rId289" Type="http://schemas.openxmlformats.org/officeDocument/2006/relationships/hyperlink" Target="http://nba.udn.com/nba/videos/" TargetMode="External"/><Relationship Id="rId310" Type="http://schemas.openxmlformats.org/officeDocument/2006/relationships/hyperlink" Target="http://style.udn.com/style/cate/8057" TargetMode="External"/><Relationship Id="rId311" Type="http://schemas.openxmlformats.org/officeDocument/2006/relationships/hyperlink" Target="http://style.udn.com/style/cate/8058" TargetMode="External"/><Relationship Id="rId312" Type="http://schemas.openxmlformats.org/officeDocument/2006/relationships/hyperlink" Target="http://video.udn.com/" TargetMode="External"/><Relationship Id="rId313" Type="http://schemas.openxmlformats.org/officeDocument/2006/relationships/hyperlink" Target="http://tv.udn.com/" TargetMode="External"/><Relationship Id="rId314" Type="http://schemas.openxmlformats.org/officeDocument/2006/relationships/hyperlink" Target="http://event.udn.com/line/" TargetMode="External"/><Relationship Id="rId315" Type="http://schemas.openxmlformats.org/officeDocument/2006/relationships/hyperlink" Target="http://blog.udn.com/" TargetMode="External"/><Relationship Id="rId316" Type="http://schemas.openxmlformats.org/officeDocument/2006/relationships/hyperlink" Target="http://paper.udn.com/" TargetMode="External"/><Relationship Id="rId317" Type="http://schemas.openxmlformats.org/officeDocument/2006/relationships/hyperlink" Target="http://reading.udn.com/v2/paperMain.do" TargetMode="External"/><Relationship Id="rId318" Type="http://schemas.openxmlformats.org/officeDocument/2006/relationships/hyperlink" Target="http://reading.udn.com/v2/bookMain.do" TargetMode="External"/><Relationship Id="rId319" Type="http://schemas.openxmlformats.org/officeDocument/2006/relationships/hyperlink" Target="http://reading.udn.com/v2/magMain.do" TargetMode="External"/><Relationship Id="rId290" Type="http://schemas.openxmlformats.org/officeDocument/2006/relationships/hyperlink" Target="http://nba.udn.com/nba/news/" TargetMode="External"/><Relationship Id="rId291" Type="http://schemas.openxmlformats.org/officeDocument/2006/relationships/hyperlink" Target="http://nba.udn.com/nba/review/" TargetMode="External"/><Relationship Id="rId292" Type="http://schemas.openxmlformats.org/officeDocument/2006/relationships/hyperlink" Target="http://nba.udn.com/photos/index/" TargetMode="External"/><Relationship Id="rId293" Type="http://schemas.openxmlformats.org/officeDocument/2006/relationships/hyperlink" Target="http://tw.global.nba.com/standings/" TargetMode="External"/><Relationship Id="rId294" Type="http://schemas.openxmlformats.org/officeDocument/2006/relationships/hyperlink" Target="http://tw.global.nba.com/statistics/" TargetMode="External"/><Relationship Id="rId295" Type="http://schemas.openxmlformats.org/officeDocument/2006/relationships/hyperlink" Target="http://stars.udn.com/" TargetMode="External"/><Relationship Id="rId296" Type="http://schemas.openxmlformats.org/officeDocument/2006/relationships/hyperlink" Target="http://stars.udn.com/stars/latest" TargetMode="External"/><Relationship Id="rId40" Type="http://schemas.openxmlformats.org/officeDocument/2006/relationships/hyperlink" Target="http://fund.udn.com/" TargetMode="External"/><Relationship Id="rId41" Type="http://schemas.openxmlformats.org/officeDocument/2006/relationships/hyperlink" Target="http://www.cens.com/cens/html/zh/" TargetMode="External"/><Relationship Id="rId42" Type="http://schemas.openxmlformats.org/officeDocument/2006/relationships/hyperlink" Target="http://health.udn.com/" TargetMode="External"/><Relationship Id="rId43" Type="http://schemas.openxmlformats.org/officeDocument/2006/relationships/hyperlink" Target="http://autos.udn.com/" TargetMode="External"/><Relationship Id="rId44" Type="http://schemas.openxmlformats.org/officeDocument/2006/relationships/hyperlink" Target="http://style.udn.com/" TargetMode="External"/><Relationship Id="rId45" Type="http://schemas.openxmlformats.org/officeDocument/2006/relationships/hyperlink" Target="http://nba.udn.com/" TargetMode="External"/><Relationship Id="rId46" Type="http://schemas.openxmlformats.org/officeDocument/2006/relationships/hyperlink" Target="http://stars.udn.com/" TargetMode="External"/><Relationship Id="rId47" Type="http://schemas.openxmlformats.org/officeDocument/2006/relationships/hyperlink" Target="http://blog.udn.com/" TargetMode="External"/><Relationship Id="rId48" Type="http://schemas.openxmlformats.org/officeDocument/2006/relationships/hyperlink" Target="http://utravel.udn.com/" TargetMode="External"/><Relationship Id="rId49" Type="http://schemas.openxmlformats.org/officeDocument/2006/relationships/hyperlink" Target="http://metrojoker.com/upaper" TargetMode="External"/><Relationship Id="rId297" Type="http://schemas.openxmlformats.org/officeDocument/2006/relationships/hyperlink" Target="http://stars.udn.com/stars/hot/" TargetMode="External"/><Relationship Id="rId298" Type="http://schemas.openxmlformats.org/officeDocument/2006/relationships/hyperlink" Target="http://stars.udn.com/stars/search" TargetMode="External"/><Relationship Id="rId299" Type="http://schemas.openxmlformats.org/officeDocument/2006/relationships/hyperlink" Target="http://stars.udn.com/stars/issue" TargetMode="External"/><Relationship Id="rId140" Type="http://schemas.openxmlformats.org/officeDocument/2006/relationships/hyperlink" Target="http://udn.com/news/story/7244/1547755" TargetMode="External"/><Relationship Id="rId141" Type="http://schemas.openxmlformats.org/officeDocument/2006/relationships/hyperlink" Target="http://udn.com/news/story/7244/1547751" TargetMode="External"/><Relationship Id="rId142" Type="http://schemas.openxmlformats.org/officeDocument/2006/relationships/hyperlink" Target="http://udn.com/news/story/7244/1547751" TargetMode="External"/><Relationship Id="rId143" Type="http://schemas.openxmlformats.org/officeDocument/2006/relationships/hyperlink" Target="http://udn.com/news/story/7244/1547753" TargetMode="External"/><Relationship Id="rId144" Type="http://schemas.openxmlformats.org/officeDocument/2006/relationships/hyperlink" Target="http://udn.com/news/story/7244/1547753" TargetMode="External"/><Relationship Id="rId145" Type="http://schemas.openxmlformats.org/officeDocument/2006/relationships/hyperlink" Target="http://udn.com/news/story/7244/1547752" TargetMode="External"/><Relationship Id="rId146" Type="http://schemas.openxmlformats.org/officeDocument/2006/relationships/hyperlink" Target="http://udn.com/news/story/7244/1547752" TargetMode="External"/><Relationship Id="rId147" Type="http://schemas.openxmlformats.org/officeDocument/2006/relationships/hyperlink" Target="http://udn.com/news/story/7243/1548086" TargetMode="External"/><Relationship Id="rId148" Type="http://schemas.openxmlformats.org/officeDocument/2006/relationships/hyperlink" Target="http://udn.com/news/story/7243/1548086" TargetMode="External"/><Relationship Id="rId149" Type="http://schemas.openxmlformats.org/officeDocument/2006/relationships/hyperlink" Target="http://udn.com/news/story/7243/1548084" TargetMode="External"/><Relationship Id="rId230" Type="http://schemas.openxmlformats.org/officeDocument/2006/relationships/hyperlink" Target="http://udn.com/news/story/7238/1548094" TargetMode="External"/><Relationship Id="rId231" Type="http://schemas.openxmlformats.org/officeDocument/2006/relationships/hyperlink" Target="http://udn.com/news/story/9523/1548107" TargetMode="External"/><Relationship Id="rId232" Type="http://schemas.openxmlformats.org/officeDocument/2006/relationships/hyperlink" Target="http://udn.com/news/story/9523/1548107" TargetMode="External"/><Relationship Id="rId233" Type="http://schemas.openxmlformats.org/officeDocument/2006/relationships/hyperlink" Target="http://udn.com/news/story/9523/1548106" TargetMode="External"/><Relationship Id="rId234" Type="http://schemas.openxmlformats.org/officeDocument/2006/relationships/hyperlink" Target="http://udn.com/news/story/9523/1548106" TargetMode="External"/><Relationship Id="rId235" Type="http://schemas.openxmlformats.org/officeDocument/2006/relationships/hyperlink" Target="http://udn.com/news/story/9523/1548100" TargetMode="External"/><Relationship Id="rId236" Type="http://schemas.openxmlformats.org/officeDocument/2006/relationships/hyperlink" Target="http://udn.com/news/story/9523/1548100" TargetMode="External"/><Relationship Id="rId237" Type="http://schemas.openxmlformats.org/officeDocument/2006/relationships/hyperlink" Target="http://udn.com/news/story/9523/1548095" TargetMode="External"/><Relationship Id="rId238" Type="http://schemas.openxmlformats.org/officeDocument/2006/relationships/hyperlink" Target="http://udn.com/news/story/9523/1548095" TargetMode="External"/><Relationship Id="rId239" Type="http://schemas.openxmlformats.org/officeDocument/2006/relationships/hyperlink" Target="http://udn.com/news/story/7240/1546627" TargetMode="External"/><Relationship Id="rId320" Type="http://schemas.openxmlformats.org/officeDocument/2006/relationships/hyperlink" Target="http://udndata.com/" TargetMode="External"/><Relationship Id="rId321" Type="http://schemas.openxmlformats.org/officeDocument/2006/relationships/hyperlink" Target="http://udndata.com/fullpage/" TargetMode="External"/><Relationship Id="rId322" Type="http://schemas.openxmlformats.org/officeDocument/2006/relationships/hyperlink" Target="http://udndata.com/image" TargetMode="External"/><Relationship Id="rId323" Type="http://schemas.openxmlformats.org/officeDocument/2006/relationships/hyperlink" Target="http://udndata.com/video/" TargetMode="External"/><Relationship Id="rId324" Type="http://schemas.openxmlformats.org/officeDocument/2006/relationships/hyperlink" Target="http://udndata.com/store/" TargetMode="External"/><Relationship Id="rId325" Type="http://schemas.openxmlformats.org/officeDocument/2006/relationships/hyperlink" Target="http://shopping.udn.com/mall/Cc1a00.do?sid=91&amp;utm_source=udn.com&amp;utm_medium=referral_footer_shopping&amp;utm_term=footer_shopping&amp;utm_campaign=20150103_UDN" TargetMode="External"/><Relationship Id="rId326" Type="http://schemas.openxmlformats.org/officeDocument/2006/relationships/hyperlink" Target="http://mobile.udn.com/web/index.html" TargetMode="External"/><Relationship Id="rId327" Type="http://schemas.openxmlformats.org/officeDocument/2006/relationships/hyperlink" Target="http://event.udn.com/index/index.html" TargetMode="External"/><Relationship Id="rId328" Type="http://schemas.openxmlformats.org/officeDocument/2006/relationships/hyperlink" Target="http://utravel.udn.com/" TargetMode="External"/><Relationship Id="rId329" Type="http://schemas.openxmlformats.org/officeDocument/2006/relationships/hyperlink" Target="http://ugood.udn.com/" TargetMode="External"/><Relationship Id="rId50" Type="http://schemas.openxmlformats.org/officeDocument/2006/relationships/hyperlink" Target="http://reading.udn.com/" TargetMode="External"/><Relationship Id="rId51" Type="http://schemas.openxmlformats.org/officeDocument/2006/relationships/hyperlink" Target="http://novel.udn.com/" TargetMode="External"/><Relationship Id="rId52" Type="http://schemas.openxmlformats.org/officeDocument/2006/relationships/hyperlink" Target="http://house.udn.com/" TargetMode="External"/><Relationship Id="rId53" Type="http://schemas.openxmlformats.org/officeDocument/2006/relationships/hyperlink" Target="http://udndata.com/" TargetMode="External"/><Relationship Id="rId54" Type="http://schemas.openxmlformats.org/officeDocument/2006/relationships/hyperlink" Target="http://paper.udn.com/" TargetMode="External"/><Relationship Id="rId55" Type="http://schemas.openxmlformats.org/officeDocument/2006/relationships/hyperlink" Target="https://tickets.udn.com/" TargetMode="External"/><Relationship Id="rId56" Type="http://schemas.openxmlformats.org/officeDocument/2006/relationships/hyperlink" Target="http://shopping.udn.com/mall/Cc1a00.do?sid=91_udn&amp;utm_source=udn.com&amp;utm_medium=referral_familybar_udn&amp;utm_term=familybar_udn&amp;utm_campaign=20150103_UDN" TargetMode="External"/><Relationship Id="rId57" Type="http://schemas.openxmlformats.org/officeDocument/2006/relationships/hyperlink" Target="http://shopping.udn.com/mall/cus/gbr/Cc1g00.do?sid=91_uD&amp;utm_source=udn.com&amp;utm_medium=referral_familybar_uD&amp;utm_term=familybar_uD&amp;utm_campaign=20150103_UDN" TargetMode="External"/><Relationship Id="rId58" Type="http://schemas.openxmlformats.org/officeDocument/2006/relationships/hyperlink" Target="http://video.udn.com/" TargetMode="External"/><Relationship Id="rId59" Type="http://schemas.openxmlformats.org/officeDocument/2006/relationships/hyperlink" Target="http://ugood.udn.com/" TargetMode="External"/><Relationship Id="rId150" Type="http://schemas.openxmlformats.org/officeDocument/2006/relationships/hyperlink" Target="http://udn.com/news/story/7243/1548084" TargetMode="External"/><Relationship Id="rId151" Type="http://schemas.openxmlformats.org/officeDocument/2006/relationships/hyperlink" Target="http://udn.com/news/story/7243/1548082" TargetMode="External"/><Relationship Id="rId152" Type="http://schemas.openxmlformats.org/officeDocument/2006/relationships/hyperlink" Target="http://udn.com/news/story/7243/1548082" TargetMode="External"/><Relationship Id="rId153" Type="http://schemas.openxmlformats.org/officeDocument/2006/relationships/hyperlink" Target="http://udn.com/news/story/7243/1548080" TargetMode="External"/><Relationship Id="rId154" Type="http://schemas.openxmlformats.org/officeDocument/2006/relationships/hyperlink" Target="http://udn.com/news/story/7243/1548080" TargetMode="External"/><Relationship Id="rId155" Type="http://schemas.openxmlformats.org/officeDocument/2006/relationships/hyperlink" Target="http://udn.com/news/story/7243/1548078" TargetMode="External"/><Relationship Id="rId156" Type="http://schemas.openxmlformats.org/officeDocument/2006/relationships/hyperlink" Target="http://udn.com/news/story/7243/1548078" TargetMode="External"/><Relationship Id="rId157" Type="http://schemas.openxmlformats.org/officeDocument/2006/relationships/hyperlink" Target="http://udn.com/news/story/7240/1548073" TargetMode="External"/><Relationship Id="rId158" Type="http://schemas.openxmlformats.org/officeDocument/2006/relationships/hyperlink" Target="http://udn.com/news/story/7240/1548073" TargetMode="External"/><Relationship Id="rId159" Type="http://schemas.openxmlformats.org/officeDocument/2006/relationships/hyperlink" Target="http://udn.com/news/story/7240/1548074" TargetMode="External"/><Relationship Id="rId240" Type="http://schemas.openxmlformats.org/officeDocument/2006/relationships/hyperlink" Target="http://udn.com/news/story/7240/1546627" TargetMode="External"/><Relationship Id="rId241" Type="http://schemas.openxmlformats.org/officeDocument/2006/relationships/hyperlink" Target="http://udn.com/news/story/7240/1546633" TargetMode="External"/><Relationship Id="rId242" Type="http://schemas.openxmlformats.org/officeDocument/2006/relationships/hyperlink" Target="http://udn.com/news/story/7240/1546633" TargetMode="External"/><Relationship Id="rId243" Type="http://schemas.openxmlformats.org/officeDocument/2006/relationships/hyperlink" Target="http://udn.com/news/story/7238/1546626" TargetMode="External"/><Relationship Id="rId244" Type="http://schemas.openxmlformats.org/officeDocument/2006/relationships/hyperlink" Target="http://udn.com/news/story/7238/1546626" TargetMode="External"/><Relationship Id="rId245" Type="http://schemas.openxmlformats.org/officeDocument/2006/relationships/hyperlink" Target="http://udn.com/news/story/7241/1546664" TargetMode="External"/><Relationship Id="rId246" Type="http://schemas.openxmlformats.org/officeDocument/2006/relationships/hyperlink" Target="http://udn.com/news/story/7241/1546664" TargetMode="External"/><Relationship Id="rId247" Type="http://schemas.openxmlformats.org/officeDocument/2006/relationships/hyperlink" Target="https://www.facebook.com/myudn" TargetMode="External"/><Relationship Id="rId248" Type="http://schemas.openxmlformats.org/officeDocument/2006/relationships/hyperlink" Target="https://plus.google.com/105298219321543859712/posts" TargetMode="External"/><Relationship Id="rId249" Type="http://schemas.openxmlformats.org/officeDocument/2006/relationships/hyperlink" Target="http://event.udn.com/line/" TargetMode="External"/><Relationship Id="rId330" Type="http://schemas.openxmlformats.org/officeDocument/2006/relationships/hyperlink" Target="http://udn.com/" TargetMode="External"/><Relationship Id="rId331" Type="http://schemas.openxmlformats.org/officeDocument/2006/relationships/hyperlink" Target="http://udn.com/weather/" TargetMode="External"/><Relationship Id="rId332" Type="http://schemas.openxmlformats.org/officeDocument/2006/relationships/hyperlink" Target="http://health.udn.com/" TargetMode="External"/><Relationship Id="rId333" Type="http://schemas.openxmlformats.org/officeDocument/2006/relationships/hyperlink" Target="http://nba.udn.com/" TargetMode="External"/><Relationship Id="rId334" Type="http://schemas.openxmlformats.org/officeDocument/2006/relationships/hyperlink" Target="http://stars.udn.com/" TargetMode="External"/><Relationship Id="rId335" Type="http://schemas.openxmlformats.org/officeDocument/2006/relationships/hyperlink" Target="http://vision.udn.com/" TargetMode="External"/><Relationship Id="rId336" Type="http://schemas.openxmlformats.org/officeDocument/2006/relationships/hyperlink" Target="http://autos.udn.com/" TargetMode="External"/><Relationship Id="rId337" Type="http://schemas.openxmlformats.org/officeDocument/2006/relationships/hyperlink" Target="http://style.udn.com/" TargetMode="External"/><Relationship Id="rId338" Type="http://schemas.openxmlformats.org/officeDocument/2006/relationships/hyperlink" Target="http://opinion.udn.com/" TargetMode="External"/><Relationship Id="rId339" Type="http://schemas.openxmlformats.org/officeDocument/2006/relationships/hyperlink" Target="http://global.udn.com/" TargetMode="External"/><Relationship Id="rId60" Type="http://schemas.openxmlformats.org/officeDocument/2006/relationships/hyperlink" Target="http://udn.com/" TargetMode="External"/><Relationship Id="rId61" Type="http://schemas.openxmlformats.org/officeDocument/2006/relationships/hyperlink" Target="http://udn.com/news/breaknews/1" TargetMode="External"/><Relationship Id="rId62" Type="http://schemas.openxmlformats.org/officeDocument/2006/relationships/hyperlink" Target="http://udn.com/news/cate/6638" TargetMode="External"/><Relationship Id="rId63" Type="http://schemas.openxmlformats.org/officeDocument/2006/relationships/hyperlink" Target="http://udn.com/news/cate/6648" TargetMode="External"/><Relationship Id="rId64" Type="http://schemas.openxmlformats.org/officeDocument/2006/relationships/hyperlink" Target="http://udn.com/news/cate/7227" TargetMode="External"/><Relationship Id="rId65" Type="http://schemas.openxmlformats.org/officeDocument/2006/relationships/hyperlink" Target="http://udn.com/news/cate/7225" TargetMode="External"/><Relationship Id="rId66" Type="http://schemas.openxmlformats.org/officeDocument/2006/relationships/hyperlink" Target="http://udn.com/news/cate/6639" TargetMode="External"/><Relationship Id="rId67" Type="http://schemas.openxmlformats.org/officeDocument/2006/relationships/hyperlink" Target="http://udn.com/news/cate/6644" TargetMode="External"/><Relationship Id="rId68" Type="http://schemas.openxmlformats.org/officeDocument/2006/relationships/hyperlink" Target="http://udn.com/news/cate/6645" TargetMode="External"/><Relationship Id="rId69" Type="http://schemas.openxmlformats.org/officeDocument/2006/relationships/hyperlink" Target="http://health.udn.com/" TargetMode="External"/><Relationship Id="rId160" Type="http://schemas.openxmlformats.org/officeDocument/2006/relationships/hyperlink" Target="http://udn.com/news/story/7240/1548074" TargetMode="External"/><Relationship Id="rId161" Type="http://schemas.openxmlformats.org/officeDocument/2006/relationships/hyperlink" Target="http://udn.com/news/story/7240/1548072" TargetMode="External"/><Relationship Id="rId162" Type="http://schemas.openxmlformats.org/officeDocument/2006/relationships/hyperlink" Target="http://udn.com/news/story/7240/1548072" TargetMode="External"/><Relationship Id="rId163" Type="http://schemas.openxmlformats.org/officeDocument/2006/relationships/hyperlink" Target="http://udn.com/news/story/7240/1548030" TargetMode="External"/><Relationship Id="rId164" Type="http://schemas.openxmlformats.org/officeDocument/2006/relationships/hyperlink" Target="http://udn.com/news/story/7240/1548030" TargetMode="External"/><Relationship Id="rId165" Type="http://schemas.openxmlformats.org/officeDocument/2006/relationships/hyperlink" Target="http://udn.com/news/story/7240/1548027" TargetMode="External"/><Relationship Id="rId166" Type="http://schemas.openxmlformats.org/officeDocument/2006/relationships/hyperlink" Target="http://udn.com/news/story/7240/1548027" TargetMode="External"/><Relationship Id="rId167" Type="http://schemas.openxmlformats.org/officeDocument/2006/relationships/hyperlink" Target="http://udn.com/news/story/7241/1548031" TargetMode="External"/><Relationship Id="rId168" Type="http://schemas.openxmlformats.org/officeDocument/2006/relationships/hyperlink" Target="http://udn.com/news/story/7241/1548031" TargetMode="External"/><Relationship Id="rId169" Type="http://schemas.openxmlformats.org/officeDocument/2006/relationships/hyperlink" Target="http://udn.com/news/story/7241/1548025" TargetMode="External"/><Relationship Id="rId250" Type="http://schemas.openxmlformats.org/officeDocument/2006/relationships/hyperlink" Target="http://udn.com/news/breaknews/1" TargetMode="External"/><Relationship Id="rId251" Type="http://schemas.openxmlformats.org/officeDocument/2006/relationships/hyperlink" Target="http://udn.com/news/cate/6638" TargetMode="External"/><Relationship Id="rId252" Type="http://schemas.openxmlformats.org/officeDocument/2006/relationships/hyperlink" Target="http://udn.com/news/cate/6639" TargetMode="External"/><Relationship Id="rId253" Type="http://schemas.openxmlformats.org/officeDocument/2006/relationships/hyperlink" Target="http://udn.com/news/cate/6641" TargetMode="External"/><Relationship Id="rId254" Type="http://schemas.openxmlformats.org/officeDocument/2006/relationships/hyperlink" Target="http://udn.com/news/cate/6640" TargetMode="External"/><Relationship Id="rId255" Type="http://schemas.openxmlformats.org/officeDocument/2006/relationships/hyperlink" Target="http://udn.com/news/cate/7225" TargetMode="External"/><Relationship Id="rId256" Type="http://schemas.openxmlformats.org/officeDocument/2006/relationships/hyperlink" Target="http://udn.com/news/cate/6643" TargetMode="External"/><Relationship Id="rId257" Type="http://schemas.openxmlformats.org/officeDocument/2006/relationships/hyperlink" Target="http://udn.com/news/cate/6644" TargetMode="External"/><Relationship Id="rId258" Type="http://schemas.openxmlformats.org/officeDocument/2006/relationships/hyperlink" Target="http://udn.com/news/cate/6645" TargetMode="External"/><Relationship Id="rId259" Type="http://schemas.openxmlformats.org/officeDocument/2006/relationships/hyperlink" Target="http://udn.com/news/cate/7227" TargetMode="External"/><Relationship Id="rId340" Type="http://schemas.openxmlformats.org/officeDocument/2006/relationships/hyperlink" Target="http://theme.udn.com/" TargetMode="External"/><Relationship Id="rId341" Type="http://schemas.openxmlformats.org/officeDocument/2006/relationships/hyperlink" Target="http://money.udn.com/" TargetMode="External"/><Relationship Id="rId342" Type="http://schemas.openxmlformats.org/officeDocument/2006/relationships/hyperlink" Target="http://video.udn.com/" TargetMode="External"/><Relationship Id="rId343" Type="http://schemas.openxmlformats.org/officeDocument/2006/relationships/hyperlink" Target="http://oops.udn.com/" TargetMode="External"/><Relationship Id="rId344" Type="http://schemas.openxmlformats.org/officeDocument/2006/relationships/hyperlink" Target="http://blog.udn.com/" TargetMode="External"/><Relationship Id="rId100" Type="http://schemas.openxmlformats.org/officeDocument/2006/relationships/hyperlink" Target="http://style.udn.com/" TargetMode="External"/><Relationship Id="rId101" Type="http://schemas.openxmlformats.org/officeDocument/2006/relationships/hyperlink" Target="http://autos.udn.com/" TargetMode="External"/><Relationship Id="rId102" Type="http://schemas.openxmlformats.org/officeDocument/2006/relationships/hyperlink" Target="http://shopping.udn.com/" TargetMode="External"/><Relationship Id="rId103" Type="http://schemas.openxmlformats.org/officeDocument/2006/relationships/hyperlink" Target="http://udn.com/news/cate/9342" TargetMode="External"/><Relationship Id="rId104" Type="http://schemas.openxmlformats.org/officeDocument/2006/relationships/hyperlink" Target="http://udn.com/news/story/1/1548491" TargetMode="External"/><Relationship Id="rId105" Type="http://schemas.openxmlformats.org/officeDocument/2006/relationships/hyperlink" Target="http://udn.com/" TargetMode="External"/></Relationships>
</file>

<file path=xl/worksheets/_rels/sheet8.xml.rels><?xml version="1.0" encoding="UTF-8" standalone="yes"?>
<Relationships xmlns="http://schemas.openxmlformats.org/package/2006/relationships"><Relationship Id="rId106" Type="http://schemas.openxmlformats.org/officeDocument/2006/relationships/hyperlink" Target="http://udn.com/rank/pv/2/0/1" TargetMode="External"/><Relationship Id="rId107" Type="http://schemas.openxmlformats.org/officeDocument/2006/relationships/hyperlink" Target="http://udn.com/rank/pv/1/0/1" TargetMode="External"/><Relationship Id="rId108" Type="http://schemas.openxmlformats.org/officeDocument/2006/relationships/hyperlink" Target="http://udn.com/rank/pv/2/6638/1" TargetMode="External"/><Relationship Id="rId109" Type="http://schemas.openxmlformats.org/officeDocument/2006/relationships/hyperlink" Target="http://udn.com/rank/pv/2/6648/1" TargetMode="External"/><Relationship Id="rId345" Type="http://schemas.openxmlformats.org/officeDocument/2006/relationships/hyperlink" Target="http://fund.udn.com/" TargetMode="External"/><Relationship Id="rId346" Type="http://schemas.openxmlformats.org/officeDocument/2006/relationships/hyperlink" Target="http://house.udn.com/" TargetMode="External"/><Relationship Id="rId347" Type="http://schemas.openxmlformats.org/officeDocument/2006/relationships/hyperlink" Target="http://udn.com/mypage/slist" TargetMode="External"/><Relationship Id="rId348" Type="http://schemas.openxmlformats.org/officeDocument/2006/relationships/hyperlink" Target="http://mobile.udn.com/web/app.html" TargetMode="External"/><Relationship Id="rId349" Type="http://schemas.openxmlformats.org/officeDocument/2006/relationships/hyperlink" Target="http://udn.com/page/topic/496" TargetMode="External"/><Relationship Id="rId70" Type="http://schemas.openxmlformats.org/officeDocument/2006/relationships/hyperlink" Target="http://udn.com/news/cate/6649" TargetMode="External"/><Relationship Id="rId71" Type="http://schemas.openxmlformats.org/officeDocument/2006/relationships/hyperlink" Target="http://udn.com/news/cindex/1012" TargetMode="External"/><Relationship Id="rId72" Type="http://schemas.openxmlformats.org/officeDocument/2006/relationships/hyperlink" Target="http://udn.com/news/cate/6643" TargetMode="External"/><Relationship Id="rId73" Type="http://schemas.openxmlformats.org/officeDocument/2006/relationships/hyperlink" Target="http://udn.com/news/cate/6641" TargetMode="External"/><Relationship Id="rId74" Type="http://schemas.openxmlformats.org/officeDocument/2006/relationships/hyperlink" Target="http://udn.com/news/cate/6640" TargetMode="External"/><Relationship Id="rId75" Type="http://schemas.openxmlformats.org/officeDocument/2006/relationships/hyperlink" Target="http://udn.com/news/cate/7226" TargetMode="External"/><Relationship Id="rId76" Type="http://schemas.openxmlformats.org/officeDocument/2006/relationships/hyperlink" Target="http://udn.com/news/cindex/1013" TargetMode="External"/><Relationship Id="rId77" Type="http://schemas.openxmlformats.org/officeDocument/2006/relationships/hyperlink" Target="http://udn.com/news/cindex/1014" TargetMode="External"/><Relationship Id="rId78" Type="http://schemas.openxmlformats.org/officeDocument/2006/relationships/hyperlink" Target="http://udn.com/news/cindex/1015" TargetMode="External"/><Relationship Id="rId79" Type="http://schemas.openxmlformats.org/officeDocument/2006/relationships/hyperlink" Target="http://shopping.udn.com/mall/Cc1a00.do?sid=94_udn&amp;utm_source=udn.com&amp;utm_medium=referral_navi_udn&amp;utm_term=navibar_udn&amp;utm_campaign=20150103_UDN" TargetMode="External"/><Relationship Id="rId170" Type="http://schemas.openxmlformats.org/officeDocument/2006/relationships/hyperlink" Target="http://udn.com/news/story/7253/1546681" TargetMode="External"/><Relationship Id="rId171" Type="http://schemas.openxmlformats.org/officeDocument/2006/relationships/hyperlink" Target="http://udn.com/news/story/7253/1547506" TargetMode="External"/><Relationship Id="rId172" Type="http://schemas.openxmlformats.org/officeDocument/2006/relationships/hyperlink" Target="http://udn.com/news/story/7253/1547506" TargetMode="External"/><Relationship Id="rId173" Type="http://schemas.openxmlformats.org/officeDocument/2006/relationships/hyperlink" Target="http://udn.com/news/story/7251/1546617" TargetMode="External"/><Relationship Id="rId174" Type="http://schemas.openxmlformats.org/officeDocument/2006/relationships/hyperlink" Target="http://udn.com/news/story/7251/1546617" TargetMode="External"/><Relationship Id="rId175" Type="http://schemas.openxmlformats.org/officeDocument/2006/relationships/hyperlink" Target="http://udn.com/news/story/7252/1547547" TargetMode="External"/><Relationship Id="rId176" Type="http://schemas.openxmlformats.org/officeDocument/2006/relationships/hyperlink" Target="http://udn.com/news/story/7252/1547547" TargetMode="External"/><Relationship Id="rId177" Type="http://schemas.openxmlformats.org/officeDocument/2006/relationships/hyperlink" Target="http://udn.com/news/story/7252/1546658" TargetMode="External"/><Relationship Id="rId178" Type="http://schemas.openxmlformats.org/officeDocument/2006/relationships/hyperlink" Target="http://udn.com/news/story/7252/1546658" TargetMode="External"/><Relationship Id="rId179" Type="http://schemas.openxmlformats.org/officeDocument/2006/relationships/hyperlink" Target="http://udn.com/news/story/7253/1546667" TargetMode="External"/><Relationship Id="rId260" Type="http://schemas.openxmlformats.org/officeDocument/2006/relationships/hyperlink" Target="http://udn.com/news/cate/7226" TargetMode="External"/><Relationship Id="rId10" Type="http://schemas.openxmlformats.org/officeDocument/2006/relationships/hyperlink" Target="http://house.udn.com/" TargetMode="External"/><Relationship Id="rId11" Type="http://schemas.openxmlformats.org/officeDocument/2006/relationships/hyperlink" Target="http://reading.udn.com/" TargetMode="External"/><Relationship Id="rId12" Type="http://schemas.openxmlformats.org/officeDocument/2006/relationships/hyperlink" Target="http://novel.udn.com/" TargetMode="External"/><Relationship Id="rId13" Type="http://schemas.openxmlformats.org/officeDocument/2006/relationships/hyperlink" Target="http://autos.udn.com/" TargetMode="External"/><Relationship Id="rId14" Type="http://schemas.openxmlformats.org/officeDocument/2006/relationships/hyperlink" Target="http://style.udn.com/" TargetMode="External"/><Relationship Id="rId15" Type="http://schemas.openxmlformats.org/officeDocument/2006/relationships/hyperlink" Target="javascript:void(0);" TargetMode="External"/><Relationship Id="rId16" Type="http://schemas.openxmlformats.org/officeDocument/2006/relationships/hyperlink" Target="http://vote2016.udn.com/vote2016/" TargetMode="External"/><Relationship Id="rId17" Type="http://schemas.openxmlformats.org/officeDocument/2006/relationships/hyperlink" Target="http://opinion.udn.com/" TargetMode="External"/><Relationship Id="rId18" Type="http://schemas.openxmlformats.org/officeDocument/2006/relationships/hyperlink" Target="http://global.udn.com/" TargetMode="External"/><Relationship Id="rId19" Type="http://schemas.openxmlformats.org/officeDocument/2006/relationships/hyperlink" Target="http://fund.udn.com/" TargetMode="External"/><Relationship Id="rId261" Type="http://schemas.openxmlformats.org/officeDocument/2006/relationships/hyperlink" Target="http://udn.com/news/cate/6648" TargetMode="External"/><Relationship Id="rId262" Type="http://schemas.openxmlformats.org/officeDocument/2006/relationships/hyperlink" Target="http://udn.com/news/cate/6649" TargetMode="External"/><Relationship Id="rId263" Type="http://schemas.openxmlformats.org/officeDocument/2006/relationships/hyperlink" Target="http://udn.com/news/cindex/1012" TargetMode="External"/><Relationship Id="rId264" Type="http://schemas.openxmlformats.org/officeDocument/2006/relationships/hyperlink" Target="http://udn.com/news/cindex/1013" TargetMode="External"/><Relationship Id="rId110" Type="http://schemas.openxmlformats.org/officeDocument/2006/relationships/hyperlink" Target="http://udn.com/rank/pv/2/7227/1" TargetMode="External"/><Relationship Id="rId111" Type="http://schemas.openxmlformats.org/officeDocument/2006/relationships/hyperlink" Target="http://udn.com/rank/pv/2/7225/1" TargetMode="External"/><Relationship Id="rId112" Type="http://schemas.openxmlformats.org/officeDocument/2006/relationships/hyperlink" Target="http://udn.com/rank/pv/2/6639/1" TargetMode="External"/><Relationship Id="rId113" Type="http://schemas.openxmlformats.org/officeDocument/2006/relationships/hyperlink" Target="http://udn.com/rank/pv/2/6644/1" TargetMode="External"/><Relationship Id="rId114" Type="http://schemas.openxmlformats.org/officeDocument/2006/relationships/hyperlink" Target="http://udn.com/rank/pv/2/6645/1" TargetMode="External"/><Relationship Id="rId115" Type="http://schemas.openxmlformats.org/officeDocument/2006/relationships/hyperlink" Target="http://udn.com/rank/pv/2/6649/1" TargetMode="External"/><Relationship Id="rId116" Type="http://schemas.openxmlformats.org/officeDocument/2006/relationships/hyperlink" Target="http://udn.com/rank/pv/1012/0/1" TargetMode="External"/><Relationship Id="rId117" Type="http://schemas.openxmlformats.org/officeDocument/2006/relationships/hyperlink" Target="http://udn.com/rank/pv/2/6643/1" TargetMode="External"/><Relationship Id="rId118" Type="http://schemas.openxmlformats.org/officeDocument/2006/relationships/hyperlink" Target="http://udn.com/rank/pv/2/6641/1" TargetMode="External"/><Relationship Id="rId119" Type="http://schemas.openxmlformats.org/officeDocument/2006/relationships/hyperlink" Target="http://udn.com/rank/pv/2/6640/1" TargetMode="External"/><Relationship Id="rId200" Type="http://schemas.openxmlformats.org/officeDocument/2006/relationships/hyperlink" Target="http://udn.com/news/story/7252/1547546" TargetMode="External"/><Relationship Id="rId201" Type="http://schemas.openxmlformats.org/officeDocument/2006/relationships/hyperlink" Target="http://udn.com/news/story/7253/1546680" TargetMode="External"/><Relationship Id="rId202" Type="http://schemas.openxmlformats.org/officeDocument/2006/relationships/hyperlink" Target="http://udn.com/news/story/7253/1546680" TargetMode="External"/><Relationship Id="rId203" Type="http://schemas.openxmlformats.org/officeDocument/2006/relationships/hyperlink" Target="http://udn.com/news/story/7253/1546685" TargetMode="External"/><Relationship Id="rId204" Type="http://schemas.openxmlformats.org/officeDocument/2006/relationships/hyperlink" Target="http://udn.com/news/story/7253/1546685" TargetMode="External"/><Relationship Id="rId205" Type="http://schemas.openxmlformats.org/officeDocument/2006/relationships/hyperlink" Target="http://udn.com/news/story/7252/1547596" TargetMode="External"/><Relationship Id="rId206" Type="http://schemas.openxmlformats.org/officeDocument/2006/relationships/hyperlink" Target="http://udn.com/news/story/7252/1547596" TargetMode="External"/><Relationship Id="rId207" Type="http://schemas.openxmlformats.org/officeDocument/2006/relationships/hyperlink" Target="http://udn.com/news/story/7253/1546684" TargetMode="External"/><Relationship Id="rId208" Type="http://schemas.openxmlformats.org/officeDocument/2006/relationships/hyperlink" Target="http://udn.com/news/story/7253/1546684" TargetMode="External"/><Relationship Id="rId209" Type="http://schemas.openxmlformats.org/officeDocument/2006/relationships/hyperlink" Target="http://udn.com/news/story/7252/1547556" TargetMode="External"/><Relationship Id="rId265" Type="http://schemas.openxmlformats.org/officeDocument/2006/relationships/hyperlink" Target="http://udn.com/news/cindex/1014" TargetMode="External"/><Relationship Id="rId266" Type="http://schemas.openxmlformats.org/officeDocument/2006/relationships/hyperlink" Target="http://udn.com/news/cindex/1015" TargetMode="External"/><Relationship Id="rId267" Type="http://schemas.openxmlformats.org/officeDocument/2006/relationships/hyperlink" Target="http://theme.udn.com/theme/index" TargetMode="External"/><Relationship Id="rId268" Type="http://schemas.openxmlformats.org/officeDocument/2006/relationships/hyperlink" Target="http://global.udn.com/" TargetMode="External"/><Relationship Id="rId269" Type="http://schemas.openxmlformats.org/officeDocument/2006/relationships/hyperlink" Target="http://opinion.udn.com/" TargetMode="External"/><Relationship Id="rId350" Type="http://schemas.openxmlformats.org/officeDocument/2006/relationships/hyperlink" Target="http://udn.com/page/topic/185" TargetMode="External"/><Relationship Id="rId351" Type="http://schemas.openxmlformats.org/officeDocument/2006/relationships/hyperlink" Target="http://udn.com/page/topic/871" TargetMode="External"/><Relationship Id="rId352" Type="http://schemas.openxmlformats.org/officeDocument/2006/relationships/queryTable" Target="../queryTables/queryTable6.xml"/><Relationship Id="rId1" Type="http://schemas.openxmlformats.org/officeDocument/2006/relationships/hyperlink" Target="http://shopping.udn.com/mall/Cc1a00.do?sid=91_udn&amp;utm_source=udn.com&amp;utm_medium=referral_familybar_udn&amp;utm_term=familybar_udn&amp;utm_campaign=20150103_UDN" TargetMode="External"/><Relationship Id="rId2" Type="http://schemas.openxmlformats.org/officeDocument/2006/relationships/hyperlink" Target="http://shopping.udn.com/mall/cus/gbr/Cc1g00.do?sid=91_uD&amp;utm_source=udn.com&amp;utm_medium=referral_familybar_uD&amp;utm_term=familybar_uD&amp;utm_campaign=20150103_UDN" TargetMode="External"/><Relationship Id="rId3" Type="http://schemas.openxmlformats.org/officeDocument/2006/relationships/hyperlink" Target="http://nba.udn.com/" TargetMode="External"/><Relationship Id="rId4" Type="http://schemas.openxmlformats.org/officeDocument/2006/relationships/hyperlink" Target="http://stars.udn.com/" TargetMode="External"/><Relationship Id="rId5" Type="http://schemas.openxmlformats.org/officeDocument/2006/relationships/hyperlink" Target="http://health.udn.com/" TargetMode="External"/><Relationship Id="rId6" Type="http://schemas.openxmlformats.org/officeDocument/2006/relationships/hyperlink" Target="http://vote2016.udn.com/vote2016/" TargetMode="External"/><Relationship Id="rId7" Type="http://schemas.openxmlformats.org/officeDocument/2006/relationships/hyperlink" Target="http://opinion.udn.com/" TargetMode="External"/><Relationship Id="rId8" Type="http://schemas.openxmlformats.org/officeDocument/2006/relationships/hyperlink" Target="http://global.udn.com/" TargetMode="External"/><Relationship Id="rId9" Type="http://schemas.openxmlformats.org/officeDocument/2006/relationships/hyperlink" Target="http://fund.udn.com/" TargetMode="External"/><Relationship Id="rId80" Type="http://schemas.openxmlformats.org/officeDocument/2006/relationships/hyperlink" Target="http://udn.com/" TargetMode="External"/><Relationship Id="rId81" Type="http://schemas.openxmlformats.org/officeDocument/2006/relationships/hyperlink" Target="http://udn.com/news/breaknews/1" TargetMode="External"/><Relationship Id="rId82" Type="http://schemas.openxmlformats.org/officeDocument/2006/relationships/hyperlink" Target="http://udn.com/rank/pv/2" TargetMode="External"/><Relationship Id="rId83" Type="http://schemas.openxmlformats.org/officeDocument/2006/relationships/hyperlink" Target="http://udn.com/news/cate/6638" TargetMode="External"/><Relationship Id="rId84" Type="http://schemas.openxmlformats.org/officeDocument/2006/relationships/hyperlink" Target="http://udn.com/news/cate/6648" TargetMode="External"/><Relationship Id="rId85" Type="http://schemas.openxmlformats.org/officeDocument/2006/relationships/hyperlink" Target="http://udn.com/news/cate/7227" TargetMode="External"/><Relationship Id="rId86" Type="http://schemas.openxmlformats.org/officeDocument/2006/relationships/hyperlink" Target="http://udn.com/news/cate/7225" TargetMode="External"/><Relationship Id="rId87" Type="http://schemas.openxmlformats.org/officeDocument/2006/relationships/hyperlink" Target="http://udn.com/news/cate/6639" TargetMode="External"/><Relationship Id="rId88" Type="http://schemas.openxmlformats.org/officeDocument/2006/relationships/hyperlink" Target="http://udn.com/news/cate/6644" TargetMode="External"/><Relationship Id="rId89" Type="http://schemas.openxmlformats.org/officeDocument/2006/relationships/hyperlink" Target="http://udn.com/news/cate/6645" TargetMode="External"/><Relationship Id="rId180" Type="http://schemas.openxmlformats.org/officeDocument/2006/relationships/hyperlink" Target="http://udn.com/news/story/7253/1546667" TargetMode="External"/><Relationship Id="rId181" Type="http://schemas.openxmlformats.org/officeDocument/2006/relationships/hyperlink" Target="http://udn.com/news/story/7255/1547488" TargetMode="External"/><Relationship Id="rId182" Type="http://schemas.openxmlformats.org/officeDocument/2006/relationships/hyperlink" Target="http://udn.com/news/story/7255/1547488" TargetMode="External"/><Relationship Id="rId183" Type="http://schemas.openxmlformats.org/officeDocument/2006/relationships/hyperlink" Target="http://udn.com/news/story/7254/1546688" TargetMode="External"/><Relationship Id="rId184" Type="http://schemas.openxmlformats.org/officeDocument/2006/relationships/hyperlink" Target="http://udn.com/news/story/7254/1546688" TargetMode="External"/><Relationship Id="rId185" Type="http://schemas.openxmlformats.org/officeDocument/2006/relationships/hyperlink" Target="http://udn.com/news/story/7255/1547489" TargetMode="External"/><Relationship Id="rId186" Type="http://schemas.openxmlformats.org/officeDocument/2006/relationships/hyperlink" Target="http://udn.com/news/story/7255/1547489" TargetMode="External"/><Relationship Id="rId187" Type="http://schemas.openxmlformats.org/officeDocument/2006/relationships/hyperlink" Target="http://udn.com/news/story/7253/1547584" TargetMode="External"/><Relationship Id="rId188" Type="http://schemas.openxmlformats.org/officeDocument/2006/relationships/hyperlink" Target="http://udn.com/news/story/7253/1547584" TargetMode="External"/><Relationship Id="rId189" Type="http://schemas.openxmlformats.org/officeDocument/2006/relationships/hyperlink" Target="http://udn.com/news/story/7251/1547447" TargetMode="External"/><Relationship Id="rId270" Type="http://schemas.openxmlformats.org/officeDocument/2006/relationships/hyperlink" Target="http://debate.udn.com/" TargetMode="External"/><Relationship Id="rId20" Type="http://schemas.openxmlformats.org/officeDocument/2006/relationships/hyperlink" Target="http://house.udn.com/" TargetMode="External"/><Relationship Id="rId21" Type="http://schemas.openxmlformats.org/officeDocument/2006/relationships/hyperlink" Target="http://reading.udn.com/" TargetMode="External"/><Relationship Id="rId22" Type="http://schemas.openxmlformats.org/officeDocument/2006/relationships/hyperlink" Target="http://novel.udn.com/" TargetMode="External"/><Relationship Id="rId23" Type="http://schemas.openxmlformats.org/officeDocument/2006/relationships/hyperlink" Target="http://autos.udn.com/" TargetMode="External"/><Relationship Id="rId24" Type="http://schemas.openxmlformats.org/officeDocument/2006/relationships/hyperlink" Target="http://style.udn.com/" TargetMode="External"/><Relationship Id="rId25" Type="http://schemas.openxmlformats.org/officeDocument/2006/relationships/hyperlink" Target="http://theme.udn.com/" TargetMode="External"/><Relationship Id="rId26" Type="http://schemas.openxmlformats.org/officeDocument/2006/relationships/hyperlink" Target="http://vision.udn.com/" TargetMode="External"/><Relationship Id="rId27" Type="http://schemas.openxmlformats.org/officeDocument/2006/relationships/hyperlink" Target="http://money.udn.com/" TargetMode="External"/><Relationship Id="rId28" Type="http://schemas.openxmlformats.org/officeDocument/2006/relationships/hyperlink" Target="http://www.cens.com/cens/html/zh/" TargetMode="External"/><Relationship Id="rId29" Type="http://schemas.openxmlformats.org/officeDocument/2006/relationships/hyperlink" Target="http://oops.udn.com/" TargetMode="External"/><Relationship Id="rId271" Type="http://schemas.openxmlformats.org/officeDocument/2006/relationships/hyperlink" Target="http://udn.com/rank/newest/2/0" TargetMode="External"/><Relationship Id="rId272" Type="http://schemas.openxmlformats.org/officeDocument/2006/relationships/hyperlink" Target="http://udn.com/rank/pv/2" TargetMode="External"/><Relationship Id="rId273" Type="http://schemas.openxmlformats.org/officeDocument/2006/relationships/hyperlink" Target="http://udn.com/rank/share/2/0" TargetMode="External"/><Relationship Id="rId274" Type="http://schemas.openxmlformats.org/officeDocument/2006/relationships/hyperlink" Target="http://health.udn.com/disease/disease_list" TargetMode="External"/><Relationship Id="rId120" Type="http://schemas.openxmlformats.org/officeDocument/2006/relationships/hyperlink" Target="http://udn.com/rank/pv/2/7226/1" TargetMode="External"/><Relationship Id="rId121" Type="http://schemas.openxmlformats.org/officeDocument/2006/relationships/hyperlink" Target="http://udn.com/rank/pv/1013/0/1" TargetMode="External"/><Relationship Id="rId122" Type="http://schemas.openxmlformats.org/officeDocument/2006/relationships/hyperlink" Target="http://udn.com/rank/pv/1014/0/1" TargetMode="External"/><Relationship Id="rId123" Type="http://schemas.openxmlformats.org/officeDocument/2006/relationships/hyperlink" Target="http://udn.com/rank/pv/1015/0/1" TargetMode="External"/><Relationship Id="rId124" Type="http://schemas.openxmlformats.org/officeDocument/2006/relationships/hyperlink" Target="http://udn.com/rank/newest/2/6645" TargetMode="External"/><Relationship Id="rId125" Type="http://schemas.openxmlformats.org/officeDocument/2006/relationships/hyperlink" Target="http://udn.com/rank/pv/2/6645" TargetMode="External"/><Relationship Id="rId126" Type="http://schemas.openxmlformats.org/officeDocument/2006/relationships/hyperlink" Target="http://udn.com/rank/share/2/6645" TargetMode="External"/><Relationship Id="rId127" Type="http://schemas.openxmlformats.org/officeDocument/2006/relationships/hyperlink" Target="http://udn.com/news/story/7251/1547449" TargetMode="External"/><Relationship Id="rId128" Type="http://schemas.openxmlformats.org/officeDocument/2006/relationships/hyperlink" Target="http://udn.com/news/story/7251/1547449" TargetMode="External"/><Relationship Id="rId129" Type="http://schemas.openxmlformats.org/officeDocument/2006/relationships/hyperlink" Target="http://udn.com/news/story/7251/1547472" TargetMode="External"/><Relationship Id="rId210" Type="http://schemas.openxmlformats.org/officeDocument/2006/relationships/hyperlink" Target="http://udn.com/news/story/7252/1547556" TargetMode="External"/><Relationship Id="rId211" Type="http://schemas.openxmlformats.org/officeDocument/2006/relationships/hyperlink" Target="http://udn.com/news/story/7253/1547496" TargetMode="External"/><Relationship Id="rId212" Type="http://schemas.openxmlformats.org/officeDocument/2006/relationships/hyperlink" Target="http://udn.com/news/story/7253/1547496" TargetMode="External"/><Relationship Id="rId213" Type="http://schemas.openxmlformats.org/officeDocument/2006/relationships/hyperlink" Target="http://udn.com/news/story/7251/1547444" TargetMode="External"/><Relationship Id="rId214" Type="http://schemas.openxmlformats.org/officeDocument/2006/relationships/hyperlink" Target="http://udn.com/news/story/7251/1547444" TargetMode="External"/><Relationship Id="rId215" Type="http://schemas.openxmlformats.org/officeDocument/2006/relationships/hyperlink" Target="http://udn.com/news/story/7254/1546689" TargetMode="External"/><Relationship Id="rId216" Type="http://schemas.openxmlformats.org/officeDocument/2006/relationships/hyperlink" Target="http://udn.com/news/story/7254/1546689" TargetMode="External"/><Relationship Id="rId217" Type="http://schemas.openxmlformats.org/officeDocument/2006/relationships/hyperlink" Target="http://udn.com/news/story/7253/1546682" TargetMode="External"/><Relationship Id="rId218" Type="http://schemas.openxmlformats.org/officeDocument/2006/relationships/hyperlink" Target="http://udn.com/news/story/7253/1546682" TargetMode="External"/><Relationship Id="rId219" Type="http://schemas.openxmlformats.org/officeDocument/2006/relationships/hyperlink" Target="http://udn.com/news/story/7255/1546695" TargetMode="External"/><Relationship Id="rId275" Type="http://schemas.openxmlformats.org/officeDocument/2006/relationships/hyperlink" Target="http://health.udn.com/health/cate/5681" TargetMode="External"/><Relationship Id="rId276" Type="http://schemas.openxmlformats.org/officeDocument/2006/relationships/hyperlink" Target="http://health.udn.com/health/cate/5680/" TargetMode="External"/><Relationship Id="rId277" Type="http://schemas.openxmlformats.org/officeDocument/2006/relationships/hyperlink" Target="http://health.udn.com/health/cate/5683" TargetMode="External"/><Relationship Id="rId278" Type="http://schemas.openxmlformats.org/officeDocument/2006/relationships/hyperlink" Target="http://health.udn.com/health/cate/5684" TargetMode="External"/><Relationship Id="rId279" Type="http://schemas.openxmlformats.org/officeDocument/2006/relationships/hyperlink" Target="http://health.udn.com/health/cate/5685" TargetMode="External"/><Relationship Id="rId300" Type="http://schemas.openxmlformats.org/officeDocument/2006/relationships/hyperlink" Target="http://stars.udn.com/stars/calendar" TargetMode="External"/><Relationship Id="rId301" Type="http://schemas.openxmlformats.org/officeDocument/2006/relationships/hyperlink" Target="http://autos.udn.com/autos/cate/7824" TargetMode="External"/><Relationship Id="rId302" Type="http://schemas.openxmlformats.org/officeDocument/2006/relationships/hyperlink" Target="http://autos.udn.com/autos/cate/7823" TargetMode="External"/><Relationship Id="rId303" Type="http://schemas.openxmlformats.org/officeDocument/2006/relationships/hyperlink" Target="http://autos.udn.com/autos/cate/7821" TargetMode="External"/><Relationship Id="rId304" Type="http://schemas.openxmlformats.org/officeDocument/2006/relationships/hyperlink" Target="http://autos.udn.com/autos/cate/7820" TargetMode="External"/><Relationship Id="rId305" Type="http://schemas.openxmlformats.org/officeDocument/2006/relationships/hyperlink" Target="http://autos.udn.com/autos/cate/7818" TargetMode="External"/><Relationship Id="rId306" Type="http://schemas.openxmlformats.org/officeDocument/2006/relationships/hyperlink" Target="http://style.udn.com/style/cate/8052" TargetMode="External"/><Relationship Id="rId307" Type="http://schemas.openxmlformats.org/officeDocument/2006/relationships/hyperlink" Target="http://style.udn.com/style/cate/8053" TargetMode="External"/><Relationship Id="rId308" Type="http://schemas.openxmlformats.org/officeDocument/2006/relationships/hyperlink" Target="http://style.udn.com/style/cate/8054" TargetMode="External"/><Relationship Id="rId309" Type="http://schemas.openxmlformats.org/officeDocument/2006/relationships/hyperlink" Target="http://style.udn.com/style/cate/8055" TargetMode="External"/><Relationship Id="rId90" Type="http://schemas.openxmlformats.org/officeDocument/2006/relationships/hyperlink" Target="http://health.udn.com/" TargetMode="External"/><Relationship Id="rId91" Type="http://schemas.openxmlformats.org/officeDocument/2006/relationships/hyperlink" Target="http://udn.com/news/cate/6649" TargetMode="External"/><Relationship Id="rId92" Type="http://schemas.openxmlformats.org/officeDocument/2006/relationships/hyperlink" Target="http://udn.com/news/cindex/1012" TargetMode="External"/><Relationship Id="rId93" Type="http://schemas.openxmlformats.org/officeDocument/2006/relationships/hyperlink" Target="http://udn.com/news/cate/6643" TargetMode="External"/><Relationship Id="rId94" Type="http://schemas.openxmlformats.org/officeDocument/2006/relationships/hyperlink" Target="http://udn.com/news/cate/6641" TargetMode="External"/><Relationship Id="rId95" Type="http://schemas.openxmlformats.org/officeDocument/2006/relationships/hyperlink" Target="http://udn.com/news/cate/6640" TargetMode="External"/><Relationship Id="rId96" Type="http://schemas.openxmlformats.org/officeDocument/2006/relationships/hyperlink" Target="http://udn.com/news/cate/7226" TargetMode="External"/><Relationship Id="rId97" Type="http://schemas.openxmlformats.org/officeDocument/2006/relationships/hyperlink" Target="http://udn.com/news/cindex/1013" TargetMode="External"/><Relationship Id="rId98" Type="http://schemas.openxmlformats.org/officeDocument/2006/relationships/hyperlink" Target="http://udn.com/news/cindex/1014" TargetMode="External"/><Relationship Id="rId99" Type="http://schemas.openxmlformats.org/officeDocument/2006/relationships/hyperlink" Target="http://udn.com/news/cindex/1015" TargetMode="External"/><Relationship Id="rId190" Type="http://schemas.openxmlformats.org/officeDocument/2006/relationships/hyperlink" Target="http://udn.com/news/story/7251/1547447" TargetMode="External"/><Relationship Id="rId191" Type="http://schemas.openxmlformats.org/officeDocument/2006/relationships/hyperlink" Target="http://udn.com/news/story/7254/1547569" TargetMode="External"/><Relationship Id="rId192" Type="http://schemas.openxmlformats.org/officeDocument/2006/relationships/hyperlink" Target="http://udn.com/news/story/7254/1547569" TargetMode="External"/><Relationship Id="rId193" Type="http://schemas.openxmlformats.org/officeDocument/2006/relationships/hyperlink" Target="http://udn.com/news/story/7253/1546654" TargetMode="External"/><Relationship Id="rId194" Type="http://schemas.openxmlformats.org/officeDocument/2006/relationships/hyperlink" Target="http://udn.com/news/story/7253/1546654" TargetMode="External"/><Relationship Id="rId195" Type="http://schemas.openxmlformats.org/officeDocument/2006/relationships/hyperlink" Target="http://udn.com/news/story/7253/1547510" TargetMode="External"/><Relationship Id="rId196" Type="http://schemas.openxmlformats.org/officeDocument/2006/relationships/hyperlink" Target="http://udn.com/news/story/7253/1547510" TargetMode="External"/><Relationship Id="rId197" Type="http://schemas.openxmlformats.org/officeDocument/2006/relationships/hyperlink" Target="http://udn.com/news/story/7251/1547500" TargetMode="External"/><Relationship Id="rId198" Type="http://schemas.openxmlformats.org/officeDocument/2006/relationships/hyperlink" Target="http://udn.com/news/story/7251/1547500" TargetMode="External"/><Relationship Id="rId199" Type="http://schemas.openxmlformats.org/officeDocument/2006/relationships/hyperlink" Target="http://udn.com/news/story/7252/1547546" TargetMode="External"/><Relationship Id="rId280" Type="http://schemas.openxmlformats.org/officeDocument/2006/relationships/hyperlink" Target="http://money.udn.com/money/cate/5594" TargetMode="External"/><Relationship Id="rId30" Type="http://schemas.openxmlformats.org/officeDocument/2006/relationships/hyperlink" Target="http://blog.udn.com/" TargetMode="External"/><Relationship Id="rId31" Type="http://schemas.openxmlformats.org/officeDocument/2006/relationships/hyperlink" Target="http://utravel.udn.com/" TargetMode="External"/><Relationship Id="rId32" Type="http://schemas.openxmlformats.org/officeDocument/2006/relationships/hyperlink" Target="http://metrojoker.com/upaper" TargetMode="External"/><Relationship Id="rId33" Type="http://schemas.openxmlformats.org/officeDocument/2006/relationships/hyperlink" Target="http://udndata.com/" TargetMode="External"/><Relationship Id="rId34" Type="http://schemas.openxmlformats.org/officeDocument/2006/relationships/hyperlink" Target="http://paper.udn.com/" TargetMode="External"/><Relationship Id="rId35" Type="http://schemas.openxmlformats.org/officeDocument/2006/relationships/hyperlink" Target="https://tickets.udn.com/" TargetMode="External"/><Relationship Id="rId36" Type="http://schemas.openxmlformats.org/officeDocument/2006/relationships/hyperlink" Target="http://video.udn.com/" TargetMode="External"/><Relationship Id="rId37" Type="http://schemas.openxmlformats.org/officeDocument/2006/relationships/hyperlink" Target="http://ugood.udn.com/" TargetMode="External"/><Relationship Id="rId38" Type="http://schemas.openxmlformats.org/officeDocument/2006/relationships/hyperlink" Target="http://vision.udn.com/" TargetMode="External"/><Relationship Id="rId39" Type="http://schemas.openxmlformats.org/officeDocument/2006/relationships/hyperlink" Target="http://money.udn.com/" TargetMode="External"/><Relationship Id="rId281" Type="http://schemas.openxmlformats.org/officeDocument/2006/relationships/hyperlink" Target="http://money.udn.com/money/cate/5595" TargetMode="External"/><Relationship Id="rId282" Type="http://schemas.openxmlformats.org/officeDocument/2006/relationships/hyperlink" Target="http://fund.udn.com/" TargetMode="External"/><Relationship Id="rId283" Type="http://schemas.openxmlformats.org/officeDocument/2006/relationships/hyperlink" Target="http://house.udn.com/" TargetMode="External"/><Relationship Id="rId284" Type="http://schemas.openxmlformats.org/officeDocument/2006/relationships/hyperlink" Target="http://udn.com/lotto/" TargetMode="External"/><Relationship Id="rId130" Type="http://schemas.openxmlformats.org/officeDocument/2006/relationships/hyperlink" Target="http://udn.com/news/story/7251/1547472" TargetMode="External"/><Relationship Id="rId131" Type="http://schemas.openxmlformats.org/officeDocument/2006/relationships/hyperlink" Target="http://udn.com/news/story/7254/1546687" TargetMode="External"/><Relationship Id="rId132" Type="http://schemas.openxmlformats.org/officeDocument/2006/relationships/hyperlink" Target="http://udn.com/news/story/7254/1546687" TargetMode="External"/><Relationship Id="rId133" Type="http://schemas.openxmlformats.org/officeDocument/2006/relationships/hyperlink" Target="http://udn.com/news/story/7253/1547432" TargetMode="External"/><Relationship Id="rId220" Type="http://schemas.openxmlformats.org/officeDocument/2006/relationships/hyperlink" Target="http://udn.com/news/story/7255/1546695" TargetMode="External"/><Relationship Id="rId221" Type="http://schemas.openxmlformats.org/officeDocument/2006/relationships/hyperlink" Target="http://udn.com/news/story/7254/1547550" TargetMode="External"/><Relationship Id="rId222" Type="http://schemas.openxmlformats.org/officeDocument/2006/relationships/hyperlink" Target="http://udn.com/news/story/7254/1547550" TargetMode="External"/><Relationship Id="rId223" Type="http://schemas.openxmlformats.org/officeDocument/2006/relationships/hyperlink" Target="http://udn.com/news/story/7253/1547579" TargetMode="External"/><Relationship Id="rId224" Type="http://schemas.openxmlformats.org/officeDocument/2006/relationships/hyperlink" Target="http://udn.com/news/story/7253/1547579" TargetMode="External"/><Relationship Id="rId225" Type="http://schemas.openxmlformats.org/officeDocument/2006/relationships/hyperlink" Target="http://udn.com/news/story/7252/1547552" TargetMode="External"/><Relationship Id="rId226" Type="http://schemas.openxmlformats.org/officeDocument/2006/relationships/hyperlink" Target="http://udn.com/news/story/7252/1547552" TargetMode="External"/><Relationship Id="rId227" Type="http://schemas.openxmlformats.org/officeDocument/2006/relationships/hyperlink" Target="http://udn.com/news/story/7251/1546613" TargetMode="External"/><Relationship Id="rId228" Type="http://schemas.openxmlformats.org/officeDocument/2006/relationships/hyperlink" Target="http://udn.com/news/story/7251/1546613" TargetMode="External"/><Relationship Id="rId229" Type="http://schemas.openxmlformats.org/officeDocument/2006/relationships/hyperlink" Target="http://udn.com/news/story/7252/1547591" TargetMode="External"/><Relationship Id="rId134" Type="http://schemas.openxmlformats.org/officeDocument/2006/relationships/hyperlink" Target="http://udn.com/news/story/7253/1547432" TargetMode="External"/><Relationship Id="rId135" Type="http://schemas.openxmlformats.org/officeDocument/2006/relationships/hyperlink" Target="http://udn.com/news/story/7254/1547505" TargetMode="External"/><Relationship Id="rId136" Type="http://schemas.openxmlformats.org/officeDocument/2006/relationships/hyperlink" Target="http://udn.com/news/story/7254/1547505" TargetMode="External"/><Relationship Id="rId137" Type="http://schemas.openxmlformats.org/officeDocument/2006/relationships/hyperlink" Target="http://udn.com/news/story/7252/1547545" TargetMode="External"/><Relationship Id="rId138" Type="http://schemas.openxmlformats.org/officeDocument/2006/relationships/hyperlink" Target="http://udn.com/news/story/7252/1547545" TargetMode="External"/><Relationship Id="rId139" Type="http://schemas.openxmlformats.org/officeDocument/2006/relationships/hyperlink" Target="http://udn.com/news/story/7251/1548009" TargetMode="External"/><Relationship Id="rId285" Type="http://schemas.openxmlformats.org/officeDocument/2006/relationships/hyperlink" Target="http://udn.com/invoice/" TargetMode="External"/><Relationship Id="rId286" Type="http://schemas.openxmlformats.org/officeDocument/2006/relationships/hyperlink" Target="http://www.cens.com/cens/html/zh/" TargetMode="External"/><Relationship Id="rId287" Type="http://schemas.openxmlformats.org/officeDocument/2006/relationships/hyperlink" Target="http://tw.global.nba.com/scores/" TargetMode="External"/><Relationship Id="rId288" Type="http://schemas.openxmlformats.org/officeDocument/2006/relationships/hyperlink" Target="http://tw.global.nba.com/schedule/" TargetMode="External"/><Relationship Id="rId289" Type="http://schemas.openxmlformats.org/officeDocument/2006/relationships/hyperlink" Target="http://nba.udn.com/nba/videos/" TargetMode="External"/><Relationship Id="rId310" Type="http://schemas.openxmlformats.org/officeDocument/2006/relationships/hyperlink" Target="http://style.udn.com/style/cate/8057" TargetMode="External"/><Relationship Id="rId311" Type="http://schemas.openxmlformats.org/officeDocument/2006/relationships/hyperlink" Target="http://style.udn.com/style/cate/8058" TargetMode="External"/><Relationship Id="rId312" Type="http://schemas.openxmlformats.org/officeDocument/2006/relationships/hyperlink" Target="http://video.udn.com/" TargetMode="External"/><Relationship Id="rId313" Type="http://schemas.openxmlformats.org/officeDocument/2006/relationships/hyperlink" Target="http://tv.udn.com/" TargetMode="External"/><Relationship Id="rId314" Type="http://schemas.openxmlformats.org/officeDocument/2006/relationships/hyperlink" Target="http://event.udn.com/line/" TargetMode="External"/><Relationship Id="rId315" Type="http://schemas.openxmlformats.org/officeDocument/2006/relationships/hyperlink" Target="http://blog.udn.com/" TargetMode="External"/><Relationship Id="rId316" Type="http://schemas.openxmlformats.org/officeDocument/2006/relationships/hyperlink" Target="http://paper.udn.com/" TargetMode="External"/><Relationship Id="rId317" Type="http://schemas.openxmlformats.org/officeDocument/2006/relationships/hyperlink" Target="http://reading.udn.com/v2/paperMain.do" TargetMode="External"/><Relationship Id="rId318" Type="http://schemas.openxmlformats.org/officeDocument/2006/relationships/hyperlink" Target="http://reading.udn.com/v2/bookMain.do" TargetMode="External"/><Relationship Id="rId319" Type="http://schemas.openxmlformats.org/officeDocument/2006/relationships/hyperlink" Target="http://reading.udn.com/v2/magMain.do" TargetMode="External"/><Relationship Id="rId290" Type="http://schemas.openxmlformats.org/officeDocument/2006/relationships/hyperlink" Target="http://nba.udn.com/nba/news/" TargetMode="External"/><Relationship Id="rId291" Type="http://schemas.openxmlformats.org/officeDocument/2006/relationships/hyperlink" Target="http://nba.udn.com/nba/review/" TargetMode="External"/><Relationship Id="rId292" Type="http://schemas.openxmlformats.org/officeDocument/2006/relationships/hyperlink" Target="http://nba.udn.com/photos/index/" TargetMode="External"/><Relationship Id="rId293" Type="http://schemas.openxmlformats.org/officeDocument/2006/relationships/hyperlink" Target="http://tw.global.nba.com/standings/" TargetMode="External"/><Relationship Id="rId294" Type="http://schemas.openxmlformats.org/officeDocument/2006/relationships/hyperlink" Target="http://tw.global.nba.com/statistics/" TargetMode="External"/><Relationship Id="rId295" Type="http://schemas.openxmlformats.org/officeDocument/2006/relationships/hyperlink" Target="http://stars.udn.com/" TargetMode="External"/><Relationship Id="rId296" Type="http://schemas.openxmlformats.org/officeDocument/2006/relationships/hyperlink" Target="http://stars.udn.com/stars/latest" TargetMode="External"/><Relationship Id="rId40" Type="http://schemas.openxmlformats.org/officeDocument/2006/relationships/hyperlink" Target="http://fund.udn.com/" TargetMode="External"/><Relationship Id="rId41" Type="http://schemas.openxmlformats.org/officeDocument/2006/relationships/hyperlink" Target="http://www.cens.com/cens/html/zh/" TargetMode="External"/><Relationship Id="rId42" Type="http://schemas.openxmlformats.org/officeDocument/2006/relationships/hyperlink" Target="http://health.udn.com/" TargetMode="External"/><Relationship Id="rId43" Type="http://schemas.openxmlformats.org/officeDocument/2006/relationships/hyperlink" Target="http://autos.udn.com/" TargetMode="External"/><Relationship Id="rId44" Type="http://schemas.openxmlformats.org/officeDocument/2006/relationships/hyperlink" Target="http://style.udn.com/" TargetMode="External"/><Relationship Id="rId45" Type="http://schemas.openxmlformats.org/officeDocument/2006/relationships/hyperlink" Target="http://nba.udn.com/" TargetMode="External"/><Relationship Id="rId46" Type="http://schemas.openxmlformats.org/officeDocument/2006/relationships/hyperlink" Target="http://stars.udn.com/" TargetMode="External"/><Relationship Id="rId47" Type="http://schemas.openxmlformats.org/officeDocument/2006/relationships/hyperlink" Target="http://blog.udn.com/" TargetMode="External"/><Relationship Id="rId48" Type="http://schemas.openxmlformats.org/officeDocument/2006/relationships/hyperlink" Target="http://utravel.udn.com/" TargetMode="External"/><Relationship Id="rId49" Type="http://schemas.openxmlformats.org/officeDocument/2006/relationships/hyperlink" Target="http://metrojoker.com/upaper" TargetMode="External"/><Relationship Id="rId297" Type="http://schemas.openxmlformats.org/officeDocument/2006/relationships/hyperlink" Target="http://stars.udn.com/stars/hot/" TargetMode="External"/><Relationship Id="rId298" Type="http://schemas.openxmlformats.org/officeDocument/2006/relationships/hyperlink" Target="http://stars.udn.com/stars/search" TargetMode="External"/><Relationship Id="rId299" Type="http://schemas.openxmlformats.org/officeDocument/2006/relationships/hyperlink" Target="http://stars.udn.com/stars/issue" TargetMode="External"/><Relationship Id="rId140" Type="http://schemas.openxmlformats.org/officeDocument/2006/relationships/hyperlink" Target="http://udn.com/news/story/7251/1548009" TargetMode="External"/><Relationship Id="rId141" Type="http://schemas.openxmlformats.org/officeDocument/2006/relationships/hyperlink" Target="http://udn.com/news/story/7251/1548124" TargetMode="External"/><Relationship Id="rId142" Type="http://schemas.openxmlformats.org/officeDocument/2006/relationships/hyperlink" Target="http://udn.com/news/story/7251/1548124" TargetMode="External"/><Relationship Id="rId143" Type="http://schemas.openxmlformats.org/officeDocument/2006/relationships/hyperlink" Target="http://udn.com/news/story/7251/1546693" TargetMode="External"/><Relationship Id="rId144" Type="http://schemas.openxmlformats.org/officeDocument/2006/relationships/hyperlink" Target="http://udn.com/news/story/7251/1546693" TargetMode="External"/><Relationship Id="rId145" Type="http://schemas.openxmlformats.org/officeDocument/2006/relationships/hyperlink" Target="http://udn.com/news/story/7253/1547435" TargetMode="External"/><Relationship Id="rId146" Type="http://schemas.openxmlformats.org/officeDocument/2006/relationships/hyperlink" Target="http://udn.com/news/story/7253/1547435" TargetMode="External"/><Relationship Id="rId147" Type="http://schemas.openxmlformats.org/officeDocument/2006/relationships/hyperlink" Target="http://udn.com/news/story/7253/1546649" TargetMode="External"/><Relationship Id="rId148" Type="http://schemas.openxmlformats.org/officeDocument/2006/relationships/hyperlink" Target="http://udn.com/news/story/7253/1546649" TargetMode="External"/><Relationship Id="rId149" Type="http://schemas.openxmlformats.org/officeDocument/2006/relationships/hyperlink" Target="http://udn.com/news/story/7253/1548033" TargetMode="External"/><Relationship Id="rId230" Type="http://schemas.openxmlformats.org/officeDocument/2006/relationships/hyperlink" Target="http://udn.com/news/story/7252/1547591" TargetMode="External"/><Relationship Id="rId231" Type="http://schemas.openxmlformats.org/officeDocument/2006/relationships/hyperlink" Target="http://udn.com/news/story/7255/1546694" TargetMode="External"/><Relationship Id="rId232" Type="http://schemas.openxmlformats.org/officeDocument/2006/relationships/hyperlink" Target="http://udn.com/news/story/7255/1546694" TargetMode="External"/><Relationship Id="rId233" Type="http://schemas.openxmlformats.org/officeDocument/2006/relationships/hyperlink" Target="http://udn.com/news/story/7252/1547497" TargetMode="External"/><Relationship Id="rId234" Type="http://schemas.openxmlformats.org/officeDocument/2006/relationships/hyperlink" Target="http://udn.com/news/story/7252/1547497" TargetMode="External"/><Relationship Id="rId235" Type="http://schemas.openxmlformats.org/officeDocument/2006/relationships/hyperlink" Target="http://udn.com/news/story/7255/1546691" TargetMode="External"/><Relationship Id="rId236" Type="http://schemas.openxmlformats.org/officeDocument/2006/relationships/hyperlink" Target="http://udn.com/news/story/7255/1546691" TargetMode="External"/><Relationship Id="rId237" Type="http://schemas.openxmlformats.org/officeDocument/2006/relationships/hyperlink" Target="http://udn.com/news/story/7255/1547487" TargetMode="External"/><Relationship Id="rId238" Type="http://schemas.openxmlformats.org/officeDocument/2006/relationships/hyperlink" Target="http://udn.com/news/story/7255/1547487" TargetMode="External"/><Relationship Id="rId239" Type="http://schemas.openxmlformats.org/officeDocument/2006/relationships/hyperlink" Target="http://udn.com/news/story/7255/1547490" TargetMode="External"/><Relationship Id="rId320" Type="http://schemas.openxmlformats.org/officeDocument/2006/relationships/hyperlink" Target="http://udndata.com/" TargetMode="External"/><Relationship Id="rId321" Type="http://schemas.openxmlformats.org/officeDocument/2006/relationships/hyperlink" Target="http://udndata.com/fullpage/" TargetMode="External"/><Relationship Id="rId322" Type="http://schemas.openxmlformats.org/officeDocument/2006/relationships/hyperlink" Target="http://udndata.com/image" TargetMode="External"/><Relationship Id="rId323" Type="http://schemas.openxmlformats.org/officeDocument/2006/relationships/hyperlink" Target="http://udndata.com/video/" TargetMode="External"/><Relationship Id="rId324" Type="http://schemas.openxmlformats.org/officeDocument/2006/relationships/hyperlink" Target="http://udndata.com/store/" TargetMode="External"/><Relationship Id="rId325" Type="http://schemas.openxmlformats.org/officeDocument/2006/relationships/hyperlink" Target="http://shopping.udn.com/mall/Cc1a00.do?sid=91&amp;utm_source=udn.com&amp;utm_medium=referral_footer_shopping&amp;utm_term=footer_shopping&amp;utm_campaign=20150103_UDN" TargetMode="External"/><Relationship Id="rId326" Type="http://schemas.openxmlformats.org/officeDocument/2006/relationships/hyperlink" Target="http://mobile.udn.com/web/index.html" TargetMode="External"/><Relationship Id="rId327" Type="http://schemas.openxmlformats.org/officeDocument/2006/relationships/hyperlink" Target="http://event.udn.com/index/index.html" TargetMode="External"/><Relationship Id="rId328" Type="http://schemas.openxmlformats.org/officeDocument/2006/relationships/hyperlink" Target="http://utravel.udn.com/" TargetMode="External"/><Relationship Id="rId329" Type="http://schemas.openxmlformats.org/officeDocument/2006/relationships/hyperlink" Target="http://ugood.udn.com/" TargetMode="External"/><Relationship Id="rId50" Type="http://schemas.openxmlformats.org/officeDocument/2006/relationships/hyperlink" Target="http://reading.udn.com/" TargetMode="External"/><Relationship Id="rId51" Type="http://schemas.openxmlformats.org/officeDocument/2006/relationships/hyperlink" Target="http://novel.udn.com/" TargetMode="External"/><Relationship Id="rId52" Type="http://schemas.openxmlformats.org/officeDocument/2006/relationships/hyperlink" Target="http://house.udn.com/" TargetMode="External"/><Relationship Id="rId53" Type="http://schemas.openxmlformats.org/officeDocument/2006/relationships/hyperlink" Target="http://udndata.com/" TargetMode="External"/><Relationship Id="rId54" Type="http://schemas.openxmlformats.org/officeDocument/2006/relationships/hyperlink" Target="http://paper.udn.com/" TargetMode="External"/><Relationship Id="rId55" Type="http://schemas.openxmlformats.org/officeDocument/2006/relationships/hyperlink" Target="https://tickets.udn.com/" TargetMode="External"/><Relationship Id="rId56" Type="http://schemas.openxmlformats.org/officeDocument/2006/relationships/hyperlink" Target="http://shopping.udn.com/mall/Cc1a00.do?sid=91_udn&amp;utm_source=udn.com&amp;utm_medium=referral_familybar_udn&amp;utm_term=familybar_udn&amp;utm_campaign=20150103_UDN" TargetMode="External"/><Relationship Id="rId57" Type="http://schemas.openxmlformats.org/officeDocument/2006/relationships/hyperlink" Target="http://shopping.udn.com/mall/cus/gbr/Cc1g00.do?sid=91_uD&amp;utm_source=udn.com&amp;utm_medium=referral_familybar_uD&amp;utm_term=familybar_uD&amp;utm_campaign=20150103_UDN" TargetMode="External"/><Relationship Id="rId58" Type="http://schemas.openxmlformats.org/officeDocument/2006/relationships/hyperlink" Target="http://video.udn.com/" TargetMode="External"/><Relationship Id="rId59" Type="http://schemas.openxmlformats.org/officeDocument/2006/relationships/hyperlink" Target="http://ugood.udn.com/" TargetMode="External"/><Relationship Id="rId150" Type="http://schemas.openxmlformats.org/officeDocument/2006/relationships/hyperlink" Target="http://udn.com/news/story/7253/1548033" TargetMode="External"/><Relationship Id="rId151" Type="http://schemas.openxmlformats.org/officeDocument/2006/relationships/hyperlink" Target="http://udn.com/news/story/7253/1547509" TargetMode="External"/><Relationship Id="rId152" Type="http://schemas.openxmlformats.org/officeDocument/2006/relationships/hyperlink" Target="http://udn.com/news/story/7253/1547509" TargetMode="External"/><Relationship Id="rId153" Type="http://schemas.openxmlformats.org/officeDocument/2006/relationships/hyperlink" Target="http://udn.com/news/story/7253/1546652" TargetMode="External"/><Relationship Id="rId154" Type="http://schemas.openxmlformats.org/officeDocument/2006/relationships/hyperlink" Target="http://udn.com/news/story/7253/1546652" TargetMode="External"/><Relationship Id="rId155" Type="http://schemas.openxmlformats.org/officeDocument/2006/relationships/hyperlink" Target="http://udn.com/news/story/7251/1547446" TargetMode="External"/><Relationship Id="rId156" Type="http://schemas.openxmlformats.org/officeDocument/2006/relationships/hyperlink" Target="http://udn.com/news/story/7251/1547446" TargetMode="External"/><Relationship Id="rId157" Type="http://schemas.openxmlformats.org/officeDocument/2006/relationships/hyperlink" Target="http://udn.com/news/story/7251/1547450" TargetMode="External"/><Relationship Id="rId158" Type="http://schemas.openxmlformats.org/officeDocument/2006/relationships/hyperlink" Target="http://udn.com/news/story/7251/1547450" TargetMode="External"/><Relationship Id="rId159" Type="http://schemas.openxmlformats.org/officeDocument/2006/relationships/hyperlink" Target="http://udn.com/news/story/7254/1547580" TargetMode="External"/><Relationship Id="rId240" Type="http://schemas.openxmlformats.org/officeDocument/2006/relationships/hyperlink" Target="http://udn.com/news/story/7255/1547490" TargetMode="External"/><Relationship Id="rId241" Type="http://schemas.openxmlformats.org/officeDocument/2006/relationships/hyperlink" Target="http://udn.com/news/story/7253/1547508" TargetMode="External"/><Relationship Id="rId242" Type="http://schemas.openxmlformats.org/officeDocument/2006/relationships/hyperlink" Target="http://udn.com/news/story/7253/1547508" TargetMode="External"/><Relationship Id="rId243" Type="http://schemas.openxmlformats.org/officeDocument/2006/relationships/hyperlink" Target="http://udn.com/news/story/7253/1547495" TargetMode="External"/><Relationship Id="rId244" Type="http://schemas.openxmlformats.org/officeDocument/2006/relationships/hyperlink" Target="http://udn.com/news/story/7253/1547495" TargetMode="External"/><Relationship Id="rId245" Type="http://schemas.openxmlformats.org/officeDocument/2006/relationships/hyperlink" Target="http://udn.com/news/story/7253/1547571" TargetMode="External"/><Relationship Id="rId246" Type="http://schemas.openxmlformats.org/officeDocument/2006/relationships/hyperlink" Target="http://udn.com/news/story/7253/1547571" TargetMode="External"/><Relationship Id="rId247" Type="http://schemas.openxmlformats.org/officeDocument/2006/relationships/hyperlink" Target="https://www.facebook.com/myudn" TargetMode="External"/><Relationship Id="rId248" Type="http://schemas.openxmlformats.org/officeDocument/2006/relationships/hyperlink" Target="https://plus.google.com/105298219321543859712/posts" TargetMode="External"/><Relationship Id="rId249" Type="http://schemas.openxmlformats.org/officeDocument/2006/relationships/hyperlink" Target="http://event.udn.com/line/" TargetMode="External"/><Relationship Id="rId330" Type="http://schemas.openxmlformats.org/officeDocument/2006/relationships/hyperlink" Target="http://udn.com/" TargetMode="External"/><Relationship Id="rId331" Type="http://schemas.openxmlformats.org/officeDocument/2006/relationships/hyperlink" Target="http://udn.com/weather/" TargetMode="External"/><Relationship Id="rId332" Type="http://schemas.openxmlformats.org/officeDocument/2006/relationships/hyperlink" Target="http://health.udn.com/" TargetMode="External"/><Relationship Id="rId333" Type="http://schemas.openxmlformats.org/officeDocument/2006/relationships/hyperlink" Target="http://nba.udn.com/" TargetMode="External"/><Relationship Id="rId334" Type="http://schemas.openxmlformats.org/officeDocument/2006/relationships/hyperlink" Target="http://stars.udn.com/" TargetMode="External"/><Relationship Id="rId335" Type="http://schemas.openxmlformats.org/officeDocument/2006/relationships/hyperlink" Target="http://vision.udn.com/" TargetMode="External"/><Relationship Id="rId336" Type="http://schemas.openxmlformats.org/officeDocument/2006/relationships/hyperlink" Target="http://autos.udn.com/" TargetMode="External"/><Relationship Id="rId337" Type="http://schemas.openxmlformats.org/officeDocument/2006/relationships/hyperlink" Target="http://style.udn.com/" TargetMode="External"/><Relationship Id="rId338" Type="http://schemas.openxmlformats.org/officeDocument/2006/relationships/hyperlink" Target="http://opinion.udn.com/" TargetMode="External"/><Relationship Id="rId339" Type="http://schemas.openxmlformats.org/officeDocument/2006/relationships/hyperlink" Target="http://global.udn.com/" TargetMode="External"/><Relationship Id="rId60" Type="http://schemas.openxmlformats.org/officeDocument/2006/relationships/hyperlink" Target="http://udn.com/" TargetMode="External"/><Relationship Id="rId61" Type="http://schemas.openxmlformats.org/officeDocument/2006/relationships/hyperlink" Target="http://udn.com/news/breaknews/1" TargetMode="External"/><Relationship Id="rId62" Type="http://schemas.openxmlformats.org/officeDocument/2006/relationships/hyperlink" Target="http://udn.com/news/cate/6638" TargetMode="External"/><Relationship Id="rId63" Type="http://schemas.openxmlformats.org/officeDocument/2006/relationships/hyperlink" Target="http://udn.com/news/cate/6648" TargetMode="External"/><Relationship Id="rId64" Type="http://schemas.openxmlformats.org/officeDocument/2006/relationships/hyperlink" Target="http://udn.com/news/cate/7227" TargetMode="External"/><Relationship Id="rId65" Type="http://schemas.openxmlformats.org/officeDocument/2006/relationships/hyperlink" Target="http://udn.com/news/cate/7225" TargetMode="External"/><Relationship Id="rId66" Type="http://schemas.openxmlformats.org/officeDocument/2006/relationships/hyperlink" Target="http://udn.com/news/cate/6639" TargetMode="External"/><Relationship Id="rId67" Type="http://schemas.openxmlformats.org/officeDocument/2006/relationships/hyperlink" Target="http://udn.com/news/cate/6644" TargetMode="External"/><Relationship Id="rId68" Type="http://schemas.openxmlformats.org/officeDocument/2006/relationships/hyperlink" Target="http://udn.com/news/cate/6645" TargetMode="External"/><Relationship Id="rId69" Type="http://schemas.openxmlformats.org/officeDocument/2006/relationships/hyperlink" Target="http://health.udn.com/" TargetMode="External"/><Relationship Id="rId160" Type="http://schemas.openxmlformats.org/officeDocument/2006/relationships/hyperlink" Target="http://udn.com/news/story/7254/1547580" TargetMode="External"/><Relationship Id="rId161" Type="http://schemas.openxmlformats.org/officeDocument/2006/relationships/hyperlink" Target="http://udn.com/news/story/7251/1547448" TargetMode="External"/><Relationship Id="rId162" Type="http://schemas.openxmlformats.org/officeDocument/2006/relationships/hyperlink" Target="http://udn.com/news/story/7251/1547448" TargetMode="External"/><Relationship Id="rId163" Type="http://schemas.openxmlformats.org/officeDocument/2006/relationships/hyperlink" Target="http://udn.com/news/story/7254/1546692" TargetMode="External"/><Relationship Id="rId164" Type="http://schemas.openxmlformats.org/officeDocument/2006/relationships/hyperlink" Target="http://udn.com/news/story/7254/1546692" TargetMode="External"/><Relationship Id="rId165" Type="http://schemas.openxmlformats.org/officeDocument/2006/relationships/hyperlink" Target="http://udn.com/news/story/7253/1547512" TargetMode="External"/><Relationship Id="rId166" Type="http://schemas.openxmlformats.org/officeDocument/2006/relationships/hyperlink" Target="http://udn.com/news/story/7253/1547512" TargetMode="External"/><Relationship Id="rId167" Type="http://schemas.openxmlformats.org/officeDocument/2006/relationships/hyperlink" Target="http://udn.com/news/story/7254/1547494" TargetMode="External"/><Relationship Id="rId168" Type="http://schemas.openxmlformats.org/officeDocument/2006/relationships/hyperlink" Target="http://udn.com/news/story/7254/1547494" TargetMode="External"/><Relationship Id="rId169" Type="http://schemas.openxmlformats.org/officeDocument/2006/relationships/hyperlink" Target="http://udn.com/news/story/7253/1546681" TargetMode="External"/><Relationship Id="rId250" Type="http://schemas.openxmlformats.org/officeDocument/2006/relationships/hyperlink" Target="http://udn.com/news/breaknews/1" TargetMode="External"/><Relationship Id="rId251" Type="http://schemas.openxmlformats.org/officeDocument/2006/relationships/hyperlink" Target="http://udn.com/news/cate/6638" TargetMode="External"/><Relationship Id="rId252" Type="http://schemas.openxmlformats.org/officeDocument/2006/relationships/hyperlink" Target="http://udn.com/news/cate/6639" TargetMode="External"/><Relationship Id="rId253" Type="http://schemas.openxmlformats.org/officeDocument/2006/relationships/hyperlink" Target="http://udn.com/news/cate/6641" TargetMode="External"/><Relationship Id="rId254" Type="http://schemas.openxmlformats.org/officeDocument/2006/relationships/hyperlink" Target="http://udn.com/news/cate/6640" TargetMode="External"/><Relationship Id="rId255" Type="http://schemas.openxmlformats.org/officeDocument/2006/relationships/hyperlink" Target="http://udn.com/news/cate/7225" TargetMode="External"/><Relationship Id="rId256" Type="http://schemas.openxmlformats.org/officeDocument/2006/relationships/hyperlink" Target="http://udn.com/news/cate/6643" TargetMode="External"/><Relationship Id="rId257" Type="http://schemas.openxmlformats.org/officeDocument/2006/relationships/hyperlink" Target="http://udn.com/news/cate/6644" TargetMode="External"/><Relationship Id="rId258" Type="http://schemas.openxmlformats.org/officeDocument/2006/relationships/hyperlink" Target="http://udn.com/news/cate/6645" TargetMode="External"/><Relationship Id="rId259" Type="http://schemas.openxmlformats.org/officeDocument/2006/relationships/hyperlink" Target="http://udn.com/news/cate/7227" TargetMode="External"/><Relationship Id="rId340" Type="http://schemas.openxmlformats.org/officeDocument/2006/relationships/hyperlink" Target="http://theme.udn.com/" TargetMode="External"/><Relationship Id="rId341" Type="http://schemas.openxmlformats.org/officeDocument/2006/relationships/hyperlink" Target="http://money.udn.com/" TargetMode="External"/><Relationship Id="rId342" Type="http://schemas.openxmlformats.org/officeDocument/2006/relationships/hyperlink" Target="http://video.udn.com/" TargetMode="External"/><Relationship Id="rId343" Type="http://schemas.openxmlformats.org/officeDocument/2006/relationships/hyperlink" Target="http://oops.udn.com/" TargetMode="External"/><Relationship Id="rId344" Type="http://schemas.openxmlformats.org/officeDocument/2006/relationships/hyperlink" Target="http://blog.udn.com/" TargetMode="External"/><Relationship Id="rId100" Type="http://schemas.openxmlformats.org/officeDocument/2006/relationships/hyperlink" Target="http://style.udn.com/" TargetMode="External"/><Relationship Id="rId101" Type="http://schemas.openxmlformats.org/officeDocument/2006/relationships/hyperlink" Target="http://autos.udn.com/" TargetMode="External"/><Relationship Id="rId102" Type="http://schemas.openxmlformats.org/officeDocument/2006/relationships/hyperlink" Target="http://shopping.udn.com/" TargetMode="External"/><Relationship Id="rId103" Type="http://schemas.openxmlformats.org/officeDocument/2006/relationships/hyperlink" Target="http://udn.com/news/cate/9342" TargetMode="External"/><Relationship Id="rId104" Type="http://schemas.openxmlformats.org/officeDocument/2006/relationships/hyperlink" Target="http://udn.com/news/story/1/1548491" TargetMode="External"/><Relationship Id="rId105" Type="http://schemas.openxmlformats.org/officeDocument/2006/relationships/hyperlink" Target="http://udn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:H1"/>
  <sheetViews>
    <sheetView workbookViewId="0">
      <selection activeCell="H12" sqref="H12"/>
    </sheetView>
  </sheetViews>
  <sheetFormatPr baseColWidth="10" defaultColWidth="8.6640625" defaultRowHeight="15" x14ac:dyDescent="0.15"/>
  <cols>
    <col min="1" max="3" width="8.6640625" style="21"/>
    <col min="4" max="4" width="8.6640625" style="22"/>
    <col min="5" max="5" width="8.6640625" style="29"/>
    <col min="6" max="6" width="8.6640625" style="23"/>
    <col min="7" max="8" width="8.6640625" style="22"/>
    <col min="9" max="16384" width="8.6640625" style="2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 enableFormatConditionsCalculation="0"/>
  <dimension ref="A1:I284"/>
  <sheetViews>
    <sheetView tabSelected="1" topLeftCell="A226" workbookViewId="0">
      <selection activeCell="C113" sqref="C113:C143"/>
    </sheetView>
  </sheetViews>
  <sheetFormatPr baseColWidth="10" defaultColWidth="8.6640625" defaultRowHeight="15" x14ac:dyDescent="0.15"/>
  <cols>
    <col min="1" max="3" width="8.6640625" style="21"/>
    <col min="4" max="4" width="8.6640625" style="22"/>
    <col min="5" max="5" width="8.6640625" style="29"/>
    <col min="6" max="6" width="8.6640625" style="23"/>
    <col min="7" max="7" width="32.1640625" style="22" customWidth="1"/>
    <col min="8" max="8" width="16.83203125" style="22" bestFit="1" customWidth="1"/>
    <col min="9" max="9" width="16.83203125" style="21" bestFit="1" customWidth="1"/>
    <col min="10" max="16384" width="8.6640625" style="21"/>
  </cols>
  <sheetData>
    <row r="1" spans="1:8" s="16" customFormat="1" ht="27" x14ac:dyDescent="0.15">
      <c r="A1" s="60" t="s">
        <v>162</v>
      </c>
      <c r="B1" s="60"/>
      <c r="C1" s="60"/>
      <c r="D1" s="60"/>
      <c r="E1" s="60"/>
      <c r="F1" s="60"/>
      <c r="G1" s="60"/>
      <c r="H1" s="15"/>
    </row>
    <row r="2" spans="1:8" s="17" customFormat="1" ht="20" x14ac:dyDescent="0.15">
      <c r="A2" s="32" t="s">
        <v>3442</v>
      </c>
      <c r="B2" s="61">
        <f ca="1">TODAY()</f>
        <v>42466</v>
      </c>
      <c r="C2" s="61"/>
      <c r="D2" s="32"/>
      <c r="E2" s="32"/>
      <c r="F2" s="32"/>
      <c r="G2" s="32"/>
      <c r="H2" s="15"/>
    </row>
    <row r="3" spans="1:8" x14ac:dyDescent="0.15">
      <c r="A3" s="62"/>
      <c r="B3" s="62"/>
      <c r="C3" s="62"/>
      <c r="D3" s="62"/>
      <c r="E3" s="62"/>
      <c r="F3" s="62"/>
      <c r="G3" s="62"/>
    </row>
    <row r="4" spans="1:8" s="19" customFormat="1" ht="23" thickBot="1" x14ac:dyDescent="0.2">
      <c r="A4" s="52" t="s">
        <v>3576</v>
      </c>
      <c r="B4" s="47"/>
      <c r="C4" s="47"/>
      <c r="D4" s="47"/>
      <c r="E4" s="47"/>
      <c r="F4" s="47"/>
      <c r="G4" s="47"/>
      <c r="H4" s="18"/>
    </row>
    <row r="5" spans="1:8" s="55" customFormat="1" ht="20" customHeight="1" thickTop="1" x14ac:dyDescent="0.15">
      <c r="A5" s="31" t="s">
        <v>3596</v>
      </c>
      <c r="B5" s="31"/>
      <c r="C5" s="31"/>
      <c r="D5" s="30"/>
      <c r="E5" s="53"/>
      <c r="F5" s="54"/>
      <c r="G5" s="30"/>
      <c r="H5" s="30"/>
    </row>
    <row r="6" spans="1:8" s="55" customFormat="1" ht="20" customHeight="1" x14ac:dyDescent="0.15">
      <c r="A6" s="31" t="s">
        <v>3597</v>
      </c>
      <c r="B6" s="31"/>
      <c r="C6" s="31"/>
      <c r="D6" s="30"/>
      <c r="E6" s="53"/>
      <c r="F6" s="54"/>
      <c r="G6" s="30"/>
      <c r="H6" s="30"/>
    </row>
    <row r="7" spans="1:8" s="55" customFormat="1" ht="20" customHeight="1" x14ac:dyDescent="0.15">
      <c r="A7" s="31" t="s">
        <v>3598</v>
      </c>
      <c r="B7" s="31"/>
      <c r="C7" s="31"/>
      <c r="D7" s="30"/>
      <c r="E7" s="53"/>
      <c r="F7" s="54"/>
      <c r="G7" s="30"/>
      <c r="H7" s="30"/>
    </row>
    <row r="8" spans="1:8" s="55" customFormat="1" ht="20" customHeight="1" x14ac:dyDescent="0.15">
      <c r="A8" s="31" t="s">
        <v>3599</v>
      </c>
      <c r="B8" s="31"/>
      <c r="C8" s="31"/>
      <c r="D8" s="30"/>
      <c r="E8" s="53"/>
      <c r="F8" s="54"/>
      <c r="G8" s="30"/>
      <c r="H8" s="30"/>
    </row>
    <row r="9" spans="1:8" s="55" customFormat="1" ht="20" customHeight="1" x14ac:dyDescent="0.15">
      <c r="A9" s="31" t="s">
        <v>3600</v>
      </c>
      <c r="B9" s="31"/>
      <c r="C9" s="31"/>
      <c r="D9" s="30"/>
      <c r="E9" s="53"/>
      <c r="F9" s="54"/>
      <c r="G9" s="30"/>
      <c r="H9" s="30"/>
    </row>
    <row r="10" spans="1:8" s="55" customFormat="1" ht="20" customHeight="1" x14ac:dyDescent="0.15">
      <c r="A10" s="31" t="s">
        <v>3601</v>
      </c>
      <c r="B10" s="31"/>
      <c r="C10" s="31"/>
      <c r="D10" s="30"/>
      <c r="E10" s="53"/>
      <c r="F10" s="54"/>
      <c r="G10" s="30"/>
      <c r="H10" s="30"/>
    </row>
    <row r="11" spans="1:8" s="55" customFormat="1" ht="20" customHeight="1" x14ac:dyDescent="0.15">
      <c r="A11" s="31" t="s">
        <v>3602</v>
      </c>
      <c r="B11" s="31"/>
      <c r="C11" s="31"/>
      <c r="D11" s="30"/>
      <c r="E11" s="53"/>
      <c r="F11" s="54"/>
      <c r="G11" s="30"/>
      <c r="H11" s="30"/>
    </row>
    <row r="12" spans="1:8" s="55" customFormat="1" ht="20" customHeight="1" x14ac:dyDescent="0.15">
      <c r="A12" s="31" t="s">
        <v>3603</v>
      </c>
      <c r="B12" s="31"/>
      <c r="C12" s="31"/>
      <c r="D12" s="30"/>
      <c r="E12" s="53"/>
      <c r="F12" s="54"/>
      <c r="G12" s="30"/>
      <c r="H12" s="30"/>
    </row>
    <row r="13" spans="1:8" s="55" customFormat="1" ht="20" customHeight="1" x14ac:dyDescent="0.15">
      <c r="A13" s="31" t="s">
        <v>3604</v>
      </c>
      <c r="B13" s="31"/>
      <c r="C13" s="31"/>
      <c r="D13" s="30"/>
      <c r="E13" s="53"/>
      <c r="F13" s="54"/>
      <c r="G13" s="30"/>
      <c r="H13" s="30"/>
    </row>
    <row r="14" spans="1:8" s="55" customFormat="1" ht="20" customHeight="1" x14ac:dyDescent="0.15">
      <c r="A14" s="31" t="s">
        <v>3605</v>
      </c>
      <c r="B14" s="31"/>
      <c r="C14" s="31"/>
      <c r="D14" s="30"/>
      <c r="E14" s="53"/>
      <c r="F14" s="54"/>
      <c r="G14" s="30"/>
      <c r="H14" s="30"/>
    </row>
    <row r="15" spans="1:8" s="55" customFormat="1" ht="20" customHeight="1" x14ac:dyDescent="0.15">
      <c r="A15" s="31" t="s">
        <v>3606</v>
      </c>
      <c r="B15" s="31"/>
      <c r="C15" s="31"/>
      <c r="D15" s="30"/>
      <c r="E15" s="53"/>
      <c r="F15" s="54"/>
      <c r="G15" s="30"/>
      <c r="H15" s="30"/>
    </row>
    <row r="16" spans="1:8" s="55" customFormat="1" ht="20" customHeight="1" x14ac:dyDescent="0.15">
      <c r="A16" s="31" t="s">
        <v>3607</v>
      </c>
      <c r="B16" s="31"/>
      <c r="C16" s="31"/>
      <c r="D16" s="30"/>
      <c r="E16" s="53"/>
      <c r="F16" s="54"/>
      <c r="G16" s="30"/>
      <c r="H16" s="30"/>
    </row>
    <row r="17" spans="1:8" s="55" customFormat="1" ht="20" customHeight="1" x14ac:dyDescent="0.15">
      <c r="A17" s="31" t="s">
        <v>3608</v>
      </c>
      <c r="B17" s="31"/>
      <c r="C17" s="31"/>
      <c r="D17" s="30"/>
      <c r="E17" s="53"/>
      <c r="F17" s="54"/>
      <c r="G17" s="30"/>
      <c r="H17" s="30"/>
    </row>
    <row r="18" spans="1:8" s="55" customFormat="1" ht="20" customHeight="1" x14ac:dyDescent="0.15">
      <c r="A18" s="31" t="s">
        <v>3609</v>
      </c>
      <c r="B18" s="31"/>
      <c r="C18" s="31"/>
      <c r="D18" s="30"/>
      <c r="E18" s="53"/>
      <c r="F18" s="54"/>
      <c r="G18" s="30"/>
      <c r="H18" s="30"/>
    </row>
    <row r="19" spans="1:8" s="55" customFormat="1" ht="20" customHeight="1" x14ac:dyDescent="0.15">
      <c r="A19" s="31" t="s">
        <v>3610</v>
      </c>
      <c r="B19" s="31"/>
      <c r="C19" s="31"/>
      <c r="D19" s="30"/>
      <c r="E19" s="53"/>
      <c r="F19" s="54"/>
      <c r="G19" s="30"/>
      <c r="H19" s="30"/>
    </row>
    <row r="20" spans="1:8" s="55" customFormat="1" ht="20" customHeight="1" x14ac:dyDescent="0.15">
      <c r="A20" s="31" t="s">
        <v>3611</v>
      </c>
      <c r="B20" s="31"/>
      <c r="C20" s="31"/>
      <c r="D20" s="30"/>
      <c r="E20" s="53"/>
      <c r="F20" s="54"/>
      <c r="G20" s="30"/>
      <c r="H20" s="30"/>
    </row>
    <row r="21" spans="1:8" s="55" customFormat="1" ht="20" customHeight="1" x14ac:dyDescent="0.15">
      <c r="A21" s="31" t="s">
        <v>3612</v>
      </c>
      <c r="B21" s="31"/>
      <c r="C21" s="31"/>
      <c r="D21" s="30"/>
      <c r="E21" s="53"/>
      <c r="F21" s="54"/>
      <c r="G21" s="30"/>
      <c r="H21" s="30"/>
    </row>
    <row r="22" spans="1:8" s="55" customFormat="1" ht="20" customHeight="1" x14ac:dyDescent="0.15">
      <c r="A22" s="31" t="s">
        <v>3614</v>
      </c>
      <c r="B22" s="31"/>
      <c r="C22" s="31"/>
      <c r="D22" s="30"/>
      <c r="E22" s="53"/>
      <c r="F22" s="54"/>
      <c r="G22" s="30"/>
      <c r="H22" s="30"/>
    </row>
    <row r="23" spans="1:8" s="55" customFormat="1" ht="20" customHeight="1" x14ac:dyDescent="0.15">
      <c r="A23" s="31" t="s">
        <v>3615</v>
      </c>
      <c r="B23" s="31"/>
      <c r="C23" s="31"/>
      <c r="D23" s="30"/>
      <c r="E23" s="53"/>
      <c r="F23" s="54"/>
      <c r="G23" s="30"/>
      <c r="H23" s="30"/>
    </row>
    <row r="24" spans="1:8" s="55" customFormat="1" ht="20" customHeight="1" x14ac:dyDescent="0.15">
      <c r="A24" s="31" t="s">
        <v>3616</v>
      </c>
      <c r="B24" s="31"/>
      <c r="C24" s="31"/>
      <c r="D24" s="30"/>
      <c r="E24" s="53"/>
      <c r="F24" s="54"/>
      <c r="G24" s="30"/>
      <c r="H24" s="30"/>
    </row>
    <row r="25" spans="1:8" s="55" customFormat="1" ht="20" customHeight="1" x14ac:dyDescent="0.15">
      <c r="A25" s="31" t="s">
        <v>3617</v>
      </c>
      <c r="B25" s="31"/>
      <c r="C25" s="31"/>
      <c r="D25" s="30"/>
      <c r="E25" s="53"/>
      <c r="F25" s="54"/>
      <c r="G25" s="30"/>
      <c r="H25" s="30"/>
    </row>
    <row r="26" spans="1:8" s="55" customFormat="1" ht="20" customHeight="1" x14ac:dyDescent="0.15">
      <c r="A26" s="31" t="s">
        <v>3618</v>
      </c>
      <c r="B26" s="31"/>
      <c r="C26" s="31"/>
      <c r="D26" s="30"/>
      <c r="E26" s="53"/>
      <c r="F26" s="54"/>
      <c r="G26" s="30"/>
      <c r="H26" s="30"/>
    </row>
    <row r="27" spans="1:8" s="55" customFormat="1" ht="20" customHeight="1" x14ac:dyDescent="0.15">
      <c r="A27" s="31" t="s">
        <v>3619</v>
      </c>
      <c r="B27" s="31"/>
      <c r="C27" s="31"/>
      <c r="D27" s="30"/>
      <c r="E27" s="53"/>
      <c r="F27" s="54"/>
      <c r="G27" s="30"/>
      <c r="H27" s="30"/>
    </row>
    <row r="28" spans="1:8" s="55" customFormat="1" ht="20" customHeight="1" x14ac:dyDescent="0.15">
      <c r="A28" s="31" t="s">
        <v>3622</v>
      </c>
      <c r="B28" s="31"/>
      <c r="C28" s="31"/>
      <c r="D28" s="30"/>
      <c r="E28" s="53"/>
      <c r="F28" s="54"/>
      <c r="G28" s="30"/>
      <c r="H28" s="30"/>
    </row>
    <row r="29" spans="1:8" s="55" customFormat="1" ht="20" customHeight="1" x14ac:dyDescent="0.15">
      <c r="A29" s="31" t="s">
        <v>3623</v>
      </c>
      <c r="B29" s="31"/>
      <c r="C29" s="31"/>
      <c r="D29" s="30"/>
      <c r="E29" s="53"/>
      <c r="F29" s="54"/>
      <c r="G29" s="30"/>
      <c r="H29" s="30"/>
    </row>
    <row r="30" spans="1:8" s="55" customFormat="1" ht="20" customHeight="1" x14ac:dyDescent="0.15">
      <c r="A30" s="31" t="s">
        <v>3624</v>
      </c>
      <c r="B30" s="31"/>
      <c r="C30" s="31"/>
      <c r="D30" s="30"/>
      <c r="E30" s="53"/>
      <c r="F30" s="54"/>
      <c r="G30" s="30"/>
      <c r="H30" s="30"/>
    </row>
    <row r="31" spans="1:8" s="55" customFormat="1" ht="20" customHeight="1" x14ac:dyDescent="0.15">
      <c r="A31" s="31" t="s">
        <v>3625</v>
      </c>
      <c r="B31" s="31"/>
      <c r="C31" s="31"/>
      <c r="D31" s="30"/>
      <c r="E31" s="53"/>
      <c r="F31" s="54"/>
      <c r="G31" s="30"/>
      <c r="H31" s="30"/>
    </row>
    <row r="32" spans="1:8" s="55" customFormat="1" ht="20" customHeight="1" x14ac:dyDescent="0.15">
      <c r="A32" s="31" t="s">
        <v>3626</v>
      </c>
      <c r="B32" s="31"/>
      <c r="C32" s="31"/>
      <c r="D32" s="30"/>
      <c r="E32" s="53"/>
      <c r="F32" s="54"/>
      <c r="G32" s="30"/>
      <c r="H32" s="30"/>
    </row>
    <row r="33" spans="1:8" s="55" customFormat="1" ht="20" customHeight="1" x14ac:dyDescent="0.15">
      <c r="A33" s="31" t="s">
        <v>3627</v>
      </c>
      <c r="B33" s="31"/>
      <c r="C33" s="31"/>
      <c r="D33" s="30"/>
      <c r="E33" s="53"/>
      <c r="F33" s="54"/>
      <c r="G33" s="30"/>
      <c r="H33" s="30"/>
    </row>
    <row r="34" spans="1:8" s="55" customFormat="1" ht="20" customHeight="1" x14ac:dyDescent="0.15">
      <c r="A34" s="31" t="s">
        <v>3628</v>
      </c>
      <c r="B34" s="31"/>
      <c r="C34" s="31"/>
      <c r="D34" s="30"/>
      <c r="E34" s="53"/>
      <c r="F34" s="54"/>
      <c r="G34" s="30"/>
      <c r="H34" s="30"/>
    </row>
    <row r="35" spans="1:8" s="55" customFormat="1" ht="20" customHeight="1" x14ac:dyDescent="0.15">
      <c r="A35" s="31" t="s">
        <v>3629</v>
      </c>
      <c r="B35" s="31"/>
      <c r="C35" s="31"/>
      <c r="D35" s="30"/>
      <c r="E35" s="53"/>
      <c r="F35" s="54"/>
      <c r="G35" s="30"/>
      <c r="H35" s="30"/>
    </row>
    <row r="36" spans="1:8" s="55" customFormat="1" ht="20" customHeight="1" x14ac:dyDescent="0.15">
      <c r="A36" s="31" t="s">
        <v>3630</v>
      </c>
      <c r="B36" s="31"/>
      <c r="C36" s="31"/>
      <c r="D36" s="30"/>
      <c r="E36" s="53"/>
      <c r="F36" s="54"/>
      <c r="G36" s="30"/>
      <c r="H36" s="30"/>
    </row>
    <row r="37" spans="1:8" s="55" customFormat="1" ht="20" customHeight="1" x14ac:dyDescent="0.15">
      <c r="A37" s="31" t="s">
        <v>3631</v>
      </c>
      <c r="B37" s="31"/>
      <c r="C37" s="31"/>
      <c r="D37" s="30"/>
      <c r="E37" s="53"/>
      <c r="F37" s="54"/>
      <c r="G37" s="30"/>
      <c r="H37" s="30"/>
    </row>
    <row r="38" spans="1:8" s="55" customFormat="1" ht="20" customHeight="1" x14ac:dyDescent="0.15">
      <c r="A38" s="31" t="s">
        <v>3632</v>
      </c>
      <c r="B38" s="31"/>
      <c r="C38" s="31"/>
      <c r="D38" s="30"/>
      <c r="E38" s="53"/>
      <c r="F38" s="54"/>
      <c r="G38" s="30"/>
      <c r="H38" s="30"/>
    </row>
    <row r="39" spans="1:8" s="55" customFormat="1" ht="20" customHeight="1" x14ac:dyDescent="0.15">
      <c r="A39" s="31" t="s">
        <v>3634</v>
      </c>
      <c r="B39" s="31"/>
      <c r="C39" s="31"/>
      <c r="D39" s="30"/>
      <c r="E39" s="53"/>
      <c r="F39" s="54"/>
      <c r="G39" s="30"/>
      <c r="H39" s="30"/>
    </row>
    <row r="40" spans="1:8" s="55" customFormat="1" ht="20" customHeight="1" x14ac:dyDescent="0.15">
      <c r="A40" s="31" t="s">
        <v>3635</v>
      </c>
      <c r="B40" s="31"/>
      <c r="C40" s="31"/>
      <c r="D40" s="30"/>
      <c r="E40" s="53"/>
      <c r="F40" s="54"/>
      <c r="G40" s="30"/>
      <c r="H40" s="30"/>
    </row>
    <row r="41" spans="1:8" s="55" customFormat="1" ht="20" customHeight="1" x14ac:dyDescent="0.15">
      <c r="A41" s="31" t="s">
        <v>3636</v>
      </c>
      <c r="B41" s="31"/>
      <c r="C41" s="31"/>
      <c r="D41" s="30"/>
      <c r="E41" s="53"/>
      <c r="F41" s="54"/>
      <c r="G41" s="30"/>
      <c r="H41" s="30"/>
    </row>
    <row r="42" spans="1:8" s="55" customFormat="1" ht="20" customHeight="1" x14ac:dyDescent="0.15">
      <c r="A42" s="31" t="s">
        <v>3637</v>
      </c>
      <c r="B42" s="31"/>
      <c r="C42" s="31"/>
      <c r="D42" s="30"/>
      <c r="E42" s="53"/>
      <c r="F42" s="54"/>
      <c r="G42" s="30"/>
      <c r="H42" s="30"/>
    </row>
    <row r="43" spans="1:8" s="55" customFormat="1" ht="20" customHeight="1" x14ac:dyDescent="0.15">
      <c r="A43" s="31" t="s">
        <v>3638</v>
      </c>
      <c r="B43" s="31"/>
      <c r="C43" s="31"/>
      <c r="D43" s="30"/>
      <c r="E43" s="53"/>
      <c r="F43" s="54"/>
      <c r="G43" s="30"/>
      <c r="H43" s="30"/>
    </row>
    <row r="44" spans="1:8" s="55" customFormat="1" ht="20" customHeight="1" x14ac:dyDescent="0.15">
      <c r="A44" s="31" t="s">
        <v>3639</v>
      </c>
      <c r="B44" s="31"/>
      <c r="C44" s="31"/>
      <c r="D44" s="30"/>
      <c r="E44" s="53"/>
      <c r="F44" s="54"/>
      <c r="G44" s="30"/>
      <c r="H44" s="30"/>
    </row>
    <row r="45" spans="1:8" s="55" customFormat="1" ht="20" customHeight="1" x14ac:dyDescent="0.15">
      <c r="A45" s="31" t="s">
        <v>3640</v>
      </c>
      <c r="B45" s="31"/>
      <c r="C45" s="31"/>
      <c r="D45" s="30"/>
      <c r="E45" s="53"/>
      <c r="F45" s="54"/>
      <c r="G45" s="30"/>
      <c r="H45" s="30"/>
    </row>
    <row r="46" spans="1:8" s="55" customFormat="1" ht="20" customHeight="1" x14ac:dyDescent="0.15">
      <c r="A46" s="31" t="s">
        <v>3641</v>
      </c>
      <c r="B46" s="31"/>
      <c r="C46" s="31"/>
      <c r="D46" s="30"/>
      <c r="E46" s="53"/>
      <c r="F46" s="54"/>
      <c r="G46" s="30"/>
      <c r="H46" s="30"/>
    </row>
    <row r="47" spans="1:8" s="55" customFormat="1" ht="20" customHeight="1" x14ac:dyDescent="0.15">
      <c r="A47" s="31" t="s">
        <v>3642</v>
      </c>
      <c r="B47" s="31"/>
      <c r="C47" s="31"/>
      <c r="D47" s="30"/>
      <c r="E47" s="53"/>
      <c r="F47" s="54"/>
      <c r="G47" s="30"/>
      <c r="H47" s="30"/>
    </row>
    <row r="48" spans="1:8" s="55" customFormat="1" ht="20" customHeight="1" x14ac:dyDescent="0.15">
      <c r="A48" s="31" t="s">
        <v>3643</v>
      </c>
      <c r="B48" s="31"/>
      <c r="C48" s="31"/>
      <c r="D48" s="30"/>
      <c r="E48" s="53"/>
      <c r="F48" s="54"/>
      <c r="G48" s="30"/>
      <c r="H48" s="30"/>
    </row>
    <row r="49" spans="1:8" s="55" customFormat="1" ht="20" customHeight="1" x14ac:dyDescent="0.15">
      <c r="A49" s="31" t="s">
        <v>3644</v>
      </c>
      <c r="B49" s="31"/>
      <c r="C49" s="31"/>
      <c r="D49" s="30"/>
      <c r="E49" s="53"/>
      <c r="F49" s="54"/>
      <c r="G49" s="30"/>
      <c r="H49" s="30"/>
    </row>
    <row r="50" spans="1:8" s="55" customFormat="1" ht="20" customHeight="1" x14ac:dyDescent="0.15">
      <c r="A50" s="31" t="s">
        <v>3645</v>
      </c>
      <c r="B50" s="31"/>
      <c r="C50" s="31"/>
      <c r="D50" s="30"/>
      <c r="E50" s="53"/>
      <c r="F50" s="54"/>
      <c r="G50" s="30"/>
      <c r="H50" s="30"/>
    </row>
    <row r="51" spans="1:8" s="55" customFormat="1" ht="20" customHeight="1" x14ac:dyDescent="0.15">
      <c r="A51" s="31" t="s">
        <v>3646</v>
      </c>
      <c r="B51" s="31"/>
      <c r="C51" s="31"/>
      <c r="D51" s="30"/>
      <c r="E51" s="53"/>
      <c r="F51" s="54"/>
      <c r="G51" s="30"/>
      <c r="H51" s="30"/>
    </row>
    <row r="52" spans="1:8" s="55" customFormat="1" ht="20" customHeight="1" x14ac:dyDescent="0.15">
      <c r="A52" s="31" t="s">
        <v>3647</v>
      </c>
      <c r="B52" s="31"/>
      <c r="C52" s="31"/>
      <c r="D52" s="30"/>
      <c r="E52" s="53"/>
      <c r="F52" s="54"/>
      <c r="G52" s="30"/>
      <c r="H52" s="30"/>
    </row>
    <row r="53" spans="1:8" s="55" customFormat="1" ht="20" customHeight="1" x14ac:dyDescent="0.15">
      <c r="A53" s="31" t="s">
        <v>3648</v>
      </c>
      <c r="B53" s="31"/>
      <c r="C53" s="31"/>
      <c r="D53" s="30"/>
      <c r="E53" s="53"/>
      <c r="F53" s="54"/>
      <c r="G53" s="30"/>
      <c r="H53" s="30"/>
    </row>
    <row r="54" spans="1:8" s="55" customFormat="1" ht="20" customHeight="1" x14ac:dyDescent="0.15">
      <c r="A54" s="31" t="s">
        <v>3649</v>
      </c>
      <c r="B54" s="31"/>
      <c r="C54" s="31"/>
      <c r="D54" s="30"/>
      <c r="E54" s="53"/>
      <c r="F54" s="54"/>
      <c r="G54" s="30"/>
      <c r="H54" s="30"/>
    </row>
    <row r="55" spans="1:8" s="55" customFormat="1" ht="20" customHeight="1" x14ac:dyDescent="0.15">
      <c r="A55" s="31" t="s">
        <v>3650</v>
      </c>
      <c r="B55" s="31"/>
      <c r="C55" s="31"/>
      <c r="D55" s="30"/>
      <c r="E55" s="53"/>
      <c r="F55" s="54"/>
      <c r="G55" s="30"/>
      <c r="H55" s="30"/>
    </row>
    <row r="56" spans="1:8" s="55" customFormat="1" ht="20" customHeight="1" x14ac:dyDescent="0.15">
      <c r="A56" s="31" t="s">
        <v>3651</v>
      </c>
      <c r="B56" s="31"/>
      <c r="C56" s="31"/>
      <c r="D56" s="30"/>
      <c r="E56" s="53"/>
      <c r="F56" s="54"/>
      <c r="G56" s="30"/>
      <c r="H56" s="30"/>
    </row>
    <row r="57" spans="1:8" s="55" customFormat="1" ht="20" customHeight="1" x14ac:dyDescent="0.15">
      <c r="A57" s="31" t="s">
        <v>3652</v>
      </c>
      <c r="B57" s="31"/>
      <c r="C57" s="31"/>
      <c r="D57" s="30"/>
      <c r="E57" s="53"/>
      <c r="F57" s="54"/>
      <c r="G57" s="30"/>
      <c r="H57" s="30"/>
    </row>
    <row r="58" spans="1:8" s="55" customFormat="1" ht="20" customHeight="1" x14ac:dyDescent="0.15">
      <c r="A58" s="31" t="s">
        <v>3653</v>
      </c>
      <c r="B58" s="31"/>
      <c r="C58" s="31"/>
      <c r="D58" s="30"/>
      <c r="E58" s="53"/>
      <c r="F58" s="54"/>
      <c r="G58" s="30"/>
      <c r="H58" s="30"/>
    </row>
    <row r="59" spans="1:8" s="55" customFormat="1" ht="20" customHeight="1" x14ac:dyDescent="0.15">
      <c r="A59" s="31" t="s">
        <v>3654</v>
      </c>
      <c r="B59" s="31"/>
      <c r="C59" s="31"/>
      <c r="D59" s="30"/>
      <c r="E59" s="53"/>
      <c r="F59" s="54"/>
      <c r="G59" s="30"/>
      <c r="H59" s="30"/>
    </row>
    <row r="60" spans="1:8" s="55" customFormat="1" ht="20" customHeight="1" x14ac:dyDescent="0.15">
      <c r="A60" s="31" t="s">
        <v>3655</v>
      </c>
      <c r="B60" s="31"/>
      <c r="C60" s="31"/>
      <c r="D60" s="30"/>
      <c r="E60" s="53"/>
      <c r="F60" s="54"/>
      <c r="G60" s="30"/>
      <c r="H60" s="30"/>
    </row>
    <row r="61" spans="1:8" s="55" customFormat="1" ht="20" customHeight="1" x14ac:dyDescent="0.15">
      <c r="A61" s="31" t="s">
        <v>3656</v>
      </c>
      <c r="B61" s="31"/>
      <c r="C61" s="31"/>
      <c r="D61" s="30"/>
      <c r="E61" s="53"/>
      <c r="F61" s="54"/>
      <c r="G61" s="30"/>
      <c r="H61" s="30"/>
    </row>
    <row r="62" spans="1:8" s="55" customFormat="1" ht="20" customHeight="1" x14ac:dyDescent="0.15">
      <c r="A62" s="31"/>
      <c r="B62" s="31"/>
      <c r="C62" s="31"/>
      <c r="D62" s="30"/>
      <c r="E62" s="53"/>
      <c r="F62" s="54"/>
      <c r="G62" s="30"/>
      <c r="H62" s="30"/>
    </row>
    <row r="65" spans="1:1" s="21" customFormat="1" x14ac:dyDescent="0.15"/>
    <row r="66" spans="1:1" s="21" customFormat="1" x14ac:dyDescent="0.15"/>
    <row r="67" spans="1:1" s="21" customFormat="1" x14ac:dyDescent="0.15"/>
    <row r="68" spans="1:1" s="21" customFormat="1" x14ac:dyDescent="0.15"/>
    <row r="69" spans="1:1" s="21" customFormat="1" x14ac:dyDescent="0.15"/>
    <row r="70" spans="1:1" s="21" customFormat="1" x14ac:dyDescent="0.15"/>
    <row r="71" spans="1:1" s="21" customFormat="1" ht="20" x14ac:dyDescent="0.15">
      <c r="A71" s="51" t="s">
        <v>3577</v>
      </c>
    </row>
    <row r="72" spans="1:1" s="21" customFormat="1" x14ac:dyDescent="0.15">
      <c r="A72" s="49" t="s">
        <v>3684</v>
      </c>
    </row>
    <row r="73" spans="1:1" s="21" customFormat="1" x14ac:dyDescent="0.15">
      <c r="A73" s="49" t="s">
        <v>3686</v>
      </c>
    </row>
    <row r="74" spans="1:1" s="21" customFormat="1" x14ac:dyDescent="0.15">
      <c r="A74" s="49" t="s">
        <v>3688</v>
      </c>
    </row>
    <row r="75" spans="1:1" s="21" customFormat="1" x14ac:dyDescent="0.15">
      <c r="A75" s="49" t="s">
        <v>3690</v>
      </c>
    </row>
    <row r="76" spans="1:1" s="21" customFormat="1" x14ac:dyDescent="0.15">
      <c r="A76" s="49" t="s">
        <v>3692</v>
      </c>
    </row>
    <row r="77" spans="1:1" s="21" customFormat="1" x14ac:dyDescent="0.15">
      <c r="A77" s="49" t="s">
        <v>3694</v>
      </c>
    </row>
    <row r="78" spans="1:1" s="21" customFormat="1" x14ac:dyDescent="0.15">
      <c r="A78" s="49" t="s">
        <v>3696</v>
      </c>
    </row>
    <row r="79" spans="1:1" s="21" customFormat="1" x14ac:dyDescent="0.15">
      <c r="A79" s="49" t="s">
        <v>3698</v>
      </c>
    </row>
    <row r="80" spans="1:1" s="21" customFormat="1" x14ac:dyDescent="0.15">
      <c r="A80" s="49" t="s">
        <v>3700</v>
      </c>
    </row>
    <row r="81" spans="1:1" s="21" customFormat="1" x14ac:dyDescent="0.15">
      <c r="A81" s="49" t="s">
        <v>3702</v>
      </c>
    </row>
    <row r="82" spans="1:1" s="21" customFormat="1" x14ac:dyDescent="0.15">
      <c r="A82" s="49" t="s">
        <v>3703</v>
      </c>
    </row>
    <row r="83" spans="1:1" s="21" customFormat="1" x14ac:dyDescent="0.15">
      <c r="A83" s="49" t="s">
        <v>3707</v>
      </c>
    </row>
    <row r="84" spans="1:1" s="21" customFormat="1" x14ac:dyDescent="0.15">
      <c r="A84" s="49" t="s">
        <v>3709</v>
      </c>
    </row>
    <row r="85" spans="1:1" s="21" customFormat="1" x14ac:dyDescent="0.15">
      <c r="A85" s="49" t="s">
        <v>3711</v>
      </c>
    </row>
    <row r="86" spans="1:1" s="21" customFormat="1" x14ac:dyDescent="0.15">
      <c r="A86" s="49" t="s">
        <v>3713</v>
      </c>
    </row>
    <row r="87" spans="1:1" s="21" customFormat="1" x14ac:dyDescent="0.15">
      <c r="A87" s="49" t="s">
        <v>3715</v>
      </c>
    </row>
    <row r="88" spans="1:1" s="21" customFormat="1" x14ac:dyDescent="0.15">
      <c r="A88" s="49" t="s">
        <v>3717</v>
      </c>
    </row>
    <row r="89" spans="1:1" s="21" customFormat="1" x14ac:dyDescent="0.15">
      <c r="A89" s="49" t="s">
        <v>3719</v>
      </c>
    </row>
    <row r="90" spans="1:1" s="21" customFormat="1" x14ac:dyDescent="0.15">
      <c r="A90" s="49" t="s">
        <v>3721</v>
      </c>
    </row>
    <row r="91" spans="1:1" s="21" customFormat="1" x14ac:dyDescent="0.15">
      <c r="A91" s="49" t="s">
        <v>3723</v>
      </c>
    </row>
    <row r="92" spans="1:1" s="21" customFormat="1" x14ac:dyDescent="0.15">
      <c r="A92" s="49" t="s">
        <v>3725</v>
      </c>
    </row>
    <row r="93" spans="1:1" s="21" customFormat="1" x14ac:dyDescent="0.15">
      <c r="A93" s="49" t="s">
        <v>3727</v>
      </c>
    </row>
    <row r="94" spans="1:1" s="21" customFormat="1" x14ac:dyDescent="0.15">
      <c r="A94" s="49" t="s">
        <v>3729</v>
      </c>
    </row>
    <row r="95" spans="1:1" s="21" customFormat="1" x14ac:dyDescent="0.15">
      <c r="A95" s="49" t="s">
        <v>3731</v>
      </c>
    </row>
    <row r="96" spans="1:1" s="21" customFormat="1" x14ac:dyDescent="0.15">
      <c r="A96" s="49" t="s">
        <v>3733</v>
      </c>
    </row>
    <row r="97" spans="1:9" x14ac:dyDescent="0.15">
      <c r="A97" s="49" t="s">
        <v>3737</v>
      </c>
    </row>
    <row r="98" spans="1:9" x14ac:dyDescent="0.15">
      <c r="A98" s="49" t="s">
        <v>3739</v>
      </c>
    </row>
    <row r="99" spans="1:9" x14ac:dyDescent="0.15">
      <c r="A99" s="49" t="s">
        <v>3741</v>
      </c>
    </row>
    <row r="100" spans="1:9" x14ac:dyDescent="0.15">
      <c r="A100" s="49" t="s">
        <v>3743</v>
      </c>
    </row>
    <row r="111" spans="1:9" ht="21" thickBot="1" x14ac:dyDescent="0.2">
      <c r="A111" s="51" t="s">
        <v>3578</v>
      </c>
    </row>
    <row r="112" spans="1:9" s="20" customFormat="1" ht="20" customHeight="1" thickTop="1" thickBot="1" x14ac:dyDescent="0.2">
      <c r="A112" s="56" t="s">
        <v>156</v>
      </c>
      <c r="B112" s="56" t="s">
        <v>157</v>
      </c>
      <c r="C112" s="56" t="s">
        <v>3579</v>
      </c>
      <c r="D112" s="57"/>
      <c r="E112" s="57"/>
      <c r="F112" s="57"/>
      <c r="G112" s="58"/>
      <c r="H112" s="56" t="s">
        <v>3580</v>
      </c>
      <c r="I112" s="56" t="s">
        <v>3581</v>
      </c>
    </row>
    <row r="113" spans="1:9" ht="16" thickTop="1" x14ac:dyDescent="0.15">
      <c r="A113" s="50">
        <v>5388</v>
      </c>
      <c r="B113" s="21" t="str">
        <f>VLOOKUP(A113,法買賣!A:L,3,0)</f>
        <v>中磊</v>
      </c>
      <c r="C113" s="49" t="s">
        <v>3810</v>
      </c>
      <c r="H113" s="22">
        <f>VLOOKUP(A113,法買賣!A:P,4,0)</f>
        <v>-200</v>
      </c>
      <c r="I113" s="22">
        <f>VLOOKUP(A113,法買賣!A:P,5,0)</f>
        <v>-205</v>
      </c>
    </row>
    <row r="114" spans="1:9" x14ac:dyDescent="0.15">
      <c r="A114" s="50"/>
      <c r="B114" s="21">
        <f>VLOOKUP(A114,法買賣!A:L,3,0)</f>
        <v>0</v>
      </c>
      <c r="C114" s="49" t="s">
        <v>3812</v>
      </c>
      <c r="H114" s="22">
        <f>VLOOKUP(A114,法買賣!A:P,4,0)</f>
        <v>0</v>
      </c>
      <c r="I114" s="22">
        <f>VLOOKUP(A114,法買賣!A:P,5,0)</f>
        <v>0</v>
      </c>
    </row>
    <row r="115" spans="1:9" x14ac:dyDescent="0.15">
      <c r="A115" s="50"/>
      <c r="B115" s="21">
        <f>VLOOKUP(A115,法買賣!A:L,3,0)</f>
        <v>0</v>
      </c>
      <c r="C115" s="49" t="s">
        <v>3814</v>
      </c>
      <c r="H115" s="22">
        <f>VLOOKUP(A115,法買賣!A:P,4,0)</f>
        <v>0</v>
      </c>
      <c r="I115" s="22">
        <f>VLOOKUP(A115,法買賣!A:P,5,0)</f>
        <v>0</v>
      </c>
    </row>
    <row r="116" spans="1:9" x14ac:dyDescent="0.15">
      <c r="A116" s="50"/>
      <c r="B116" s="21">
        <f>VLOOKUP(A116,法買賣!A:L,3,0)</f>
        <v>0</v>
      </c>
      <c r="C116" s="49" t="s">
        <v>3816</v>
      </c>
      <c r="H116" s="22">
        <f>VLOOKUP(A116,法買賣!A:P,4,0)</f>
        <v>0</v>
      </c>
      <c r="I116" s="22">
        <f>VLOOKUP(A116,法買賣!A:P,5,0)</f>
        <v>0</v>
      </c>
    </row>
    <row r="117" spans="1:9" x14ac:dyDescent="0.15">
      <c r="A117" s="50"/>
      <c r="B117" s="21">
        <f>VLOOKUP(A117,法買賣!A:L,3,0)</f>
        <v>0</v>
      </c>
      <c r="C117" s="49" t="s">
        <v>3818</v>
      </c>
      <c r="H117" s="22">
        <f>VLOOKUP(A117,法買賣!A:P,4,0)</f>
        <v>0</v>
      </c>
      <c r="I117" s="22">
        <f>VLOOKUP(A117,法買賣!A:P,5,0)</f>
        <v>0</v>
      </c>
    </row>
    <row r="118" spans="1:9" x14ac:dyDescent="0.15">
      <c r="A118" s="50"/>
      <c r="B118" s="21">
        <f>VLOOKUP(A118,法買賣!A:L,3,0)</f>
        <v>0</v>
      </c>
      <c r="C118" s="49" t="s">
        <v>3820</v>
      </c>
      <c r="H118" s="22">
        <f>VLOOKUP(A118,法買賣!A:P,4,0)</f>
        <v>0</v>
      </c>
      <c r="I118" s="22">
        <f>VLOOKUP(A118,法買賣!A:P,5,0)</f>
        <v>0</v>
      </c>
    </row>
    <row r="119" spans="1:9" x14ac:dyDescent="0.15">
      <c r="A119" s="50"/>
      <c r="B119" s="21">
        <f>VLOOKUP(A119,法買賣!A:L,3,0)</f>
        <v>0</v>
      </c>
      <c r="C119" s="49" t="s">
        <v>3822</v>
      </c>
      <c r="H119" s="22">
        <f>VLOOKUP(A119,法買賣!A:P,4,0)</f>
        <v>0</v>
      </c>
      <c r="I119" s="22">
        <f>VLOOKUP(A119,法買賣!A:P,5,0)</f>
        <v>0</v>
      </c>
    </row>
    <row r="120" spans="1:9" x14ac:dyDescent="0.15">
      <c r="A120" s="50"/>
      <c r="B120" s="21">
        <f>VLOOKUP(A120,法買賣!A:L,3,0)</f>
        <v>0</v>
      </c>
      <c r="C120" s="49" t="s">
        <v>3824</v>
      </c>
      <c r="H120" s="22">
        <f>VLOOKUP(A120,法買賣!A:P,4,0)</f>
        <v>0</v>
      </c>
      <c r="I120" s="22">
        <f>VLOOKUP(A120,法買賣!A:P,5,0)</f>
        <v>0</v>
      </c>
    </row>
    <row r="121" spans="1:9" x14ac:dyDescent="0.15">
      <c r="A121" s="50"/>
      <c r="B121" s="21">
        <f>VLOOKUP(A121,法買賣!A:L,3,0)</f>
        <v>0</v>
      </c>
      <c r="C121" s="49" t="s">
        <v>3826</v>
      </c>
      <c r="H121" s="22">
        <f>VLOOKUP(A121,法買賣!A:P,4,0)</f>
        <v>0</v>
      </c>
      <c r="I121" s="22">
        <f>VLOOKUP(A121,法買賣!A:P,5,0)</f>
        <v>0</v>
      </c>
    </row>
    <row r="122" spans="1:9" x14ac:dyDescent="0.15">
      <c r="A122" s="50"/>
      <c r="B122" s="21">
        <f>VLOOKUP(A122,法買賣!A:L,3,0)</f>
        <v>0</v>
      </c>
      <c r="C122" s="49" t="s">
        <v>3828</v>
      </c>
      <c r="H122" s="22">
        <f>VLOOKUP(A122,法買賣!A:P,4,0)</f>
        <v>0</v>
      </c>
      <c r="I122" s="22">
        <f>VLOOKUP(A122,法買賣!A:P,5,0)</f>
        <v>0</v>
      </c>
    </row>
    <row r="123" spans="1:9" x14ac:dyDescent="0.15">
      <c r="A123" s="50"/>
      <c r="B123" s="21">
        <f>VLOOKUP(A123,法買賣!A:L,3,0)</f>
        <v>0</v>
      </c>
      <c r="C123" s="49" t="s">
        <v>3829</v>
      </c>
      <c r="H123" s="22">
        <f>VLOOKUP(A123,法買賣!A:P,4,0)</f>
        <v>0</v>
      </c>
      <c r="I123" s="22">
        <f>VLOOKUP(A123,法買賣!A:P,5,0)</f>
        <v>0</v>
      </c>
    </row>
    <row r="124" spans="1:9" x14ac:dyDescent="0.15">
      <c r="A124" s="50"/>
      <c r="B124" s="21">
        <f>VLOOKUP(A124,法買賣!A:L,3,0)</f>
        <v>0</v>
      </c>
      <c r="C124" s="49" t="s">
        <v>3831</v>
      </c>
      <c r="H124" s="22">
        <f>VLOOKUP(A124,法買賣!A:P,4,0)</f>
        <v>0</v>
      </c>
      <c r="I124" s="22">
        <f>VLOOKUP(A124,法買賣!A:P,5,0)</f>
        <v>0</v>
      </c>
    </row>
    <row r="125" spans="1:9" x14ac:dyDescent="0.15">
      <c r="A125" s="50"/>
      <c r="B125" s="21">
        <f>VLOOKUP(A125,法買賣!A:L,3,0)</f>
        <v>0</v>
      </c>
      <c r="C125" s="49" t="s">
        <v>3833</v>
      </c>
      <c r="H125" s="22">
        <f>VLOOKUP(A125,法買賣!A:P,4,0)</f>
        <v>0</v>
      </c>
      <c r="I125" s="22">
        <f>VLOOKUP(A125,法買賣!A:P,5,0)</f>
        <v>0</v>
      </c>
    </row>
    <row r="126" spans="1:9" x14ac:dyDescent="0.15">
      <c r="A126" s="50"/>
      <c r="B126" s="21">
        <f>VLOOKUP(A126,法買賣!A:L,3,0)</f>
        <v>0</v>
      </c>
      <c r="C126" s="49" t="s">
        <v>3835</v>
      </c>
      <c r="H126" s="22">
        <f>VLOOKUP(A126,法買賣!A:P,4,0)</f>
        <v>0</v>
      </c>
      <c r="I126" s="22">
        <f>VLOOKUP(A126,法買賣!A:P,5,0)</f>
        <v>0</v>
      </c>
    </row>
    <row r="127" spans="1:9" x14ac:dyDescent="0.15">
      <c r="A127" s="50"/>
      <c r="B127" s="21">
        <f>VLOOKUP(A127,法買賣!A:L,3,0)</f>
        <v>0</v>
      </c>
      <c r="C127" s="49" t="s">
        <v>3837</v>
      </c>
      <c r="H127" s="22">
        <f>VLOOKUP(A127,法買賣!A:P,4,0)</f>
        <v>0</v>
      </c>
      <c r="I127" s="22">
        <f>VLOOKUP(A127,法買賣!A:P,5,0)</f>
        <v>0</v>
      </c>
    </row>
    <row r="128" spans="1:9" x14ac:dyDescent="0.15">
      <c r="A128" s="50"/>
      <c r="B128" s="21">
        <f>VLOOKUP(A128,法買賣!A:L,3,0)</f>
        <v>0</v>
      </c>
      <c r="C128" s="49" t="s">
        <v>3839</v>
      </c>
      <c r="H128" s="22">
        <f>VLOOKUP(A128,法買賣!A:P,4,0)</f>
        <v>0</v>
      </c>
      <c r="I128" s="22">
        <f>VLOOKUP(A128,法買賣!A:P,5,0)</f>
        <v>0</v>
      </c>
    </row>
    <row r="129" spans="1:9" x14ac:dyDescent="0.15">
      <c r="A129" s="50"/>
      <c r="B129" s="21">
        <f>VLOOKUP(A129,法買賣!A:L,3,0)</f>
        <v>0</v>
      </c>
      <c r="C129" s="49" t="s">
        <v>3841</v>
      </c>
      <c r="H129" s="22">
        <f>VLOOKUP(A129,法買賣!A:P,4,0)</f>
        <v>0</v>
      </c>
      <c r="I129" s="22">
        <f>VLOOKUP(A129,法買賣!A:P,5,0)</f>
        <v>0</v>
      </c>
    </row>
    <row r="130" spans="1:9" x14ac:dyDescent="0.15">
      <c r="A130" s="50"/>
      <c r="B130" s="21">
        <f>VLOOKUP(A130,法買賣!A:L,3,0)</f>
        <v>0</v>
      </c>
      <c r="C130" s="49" t="s">
        <v>3843</v>
      </c>
      <c r="H130" s="22">
        <f>VLOOKUP(A130,法買賣!A:P,4,0)</f>
        <v>0</v>
      </c>
      <c r="I130" s="22">
        <f>VLOOKUP(A130,法買賣!A:P,5,0)</f>
        <v>0</v>
      </c>
    </row>
    <row r="131" spans="1:9" x14ac:dyDescent="0.15">
      <c r="A131" s="50"/>
      <c r="B131" s="21">
        <f>VLOOKUP(A131,法買賣!A:L,3,0)</f>
        <v>0</v>
      </c>
      <c r="C131" s="49" t="s">
        <v>3845</v>
      </c>
      <c r="H131" s="22">
        <f>VLOOKUP(A131,法買賣!A:P,4,0)</f>
        <v>0</v>
      </c>
      <c r="I131" s="22">
        <f>VLOOKUP(A131,法買賣!A:P,5,0)</f>
        <v>0</v>
      </c>
    </row>
    <row r="132" spans="1:9" x14ac:dyDescent="0.15">
      <c r="A132" s="50"/>
      <c r="B132" s="21">
        <f>VLOOKUP(A132,法買賣!A:L,3,0)</f>
        <v>0</v>
      </c>
      <c r="C132" s="49" t="s">
        <v>3847</v>
      </c>
      <c r="H132" s="22">
        <f>VLOOKUP(A132,法買賣!A:P,4,0)</f>
        <v>0</v>
      </c>
      <c r="I132" s="22">
        <f>VLOOKUP(A132,法買賣!A:P,5,0)</f>
        <v>0</v>
      </c>
    </row>
    <row r="133" spans="1:9" x14ac:dyDescent="0.15">
      <c r="A133" s="50"/>
      <c r="B133" s="21">
        <f>VLOOKUP(A133,法買賣!A:L,3,0)</f>
        <v>0</v>
      </c>
      <c r="C133" s="49" t="s">
        <v>3849</v>
      </c>
      <c r="H133" s="22">
        <f>VLOOKUP(A133,法買賣!A:P,4,0)</f>
        <v>0</v>
      </c>
      <c r="I133" s="22">
        <f>VLOOKUP(A133,法買賣!A:P,5,0)</f>
        <v>0</v>
      </c>
    </row>
    <row r="134" spans="1:9" x14ac:dyDescent="0.15">
      <c r="A134" s="50"/>
      <c r="B134" s="21">
        <f>VLOOKUP(A134,法買賣!A:L,3,0)</f>
        <v>0</v>
      </c>
      <c r="C134" s="49" t="s">
        <v>3851</v>
      </c>
      <c r="H134" s="22">
        <f>VLOOKUP(A134,法買賣!A:P,4,0)</f>
        <v>0</v>
      </c>
      <c r="I134" s="22">
        <f>VLOOKUP(A134,法買賣!A:P,5,0)</f>
        <v>0</v>
      </c>
    </row>
    <row r="135" spans="1:9" x14ac:dyDescent="0.15">
      <c r="A135" s="50"/>
      <c r="B135" s="21">
        <f>VLOOKUP(A135,法買賣!A:L,3,0)</f>
        <v>0</v>
      </c>
      <c r="C135" s="49" t="s">
        <v>3853</v>
      </c>
      <c r="H135" s="22">
        <f>VLOOKUP(A135,法買賣!A:P,4,0)</f>
        <v>0</v>
      </c>
      <c r="I135" s="22">
        <f>VLOOKUP(A135,法買賣!A:P,5,0)</f>
        <v>0</v>
      </c>
    </row>
    <row r="136" spans="1:9" x14ac:dyDescent="0.15">
      <c r="A136" s="50"/>
      <c r="B136" s="21">
        <f>VLOOKUP(A136,法買賣!A:L,3,0)</f>
        <v>0</v>
      </c>
      <c r="C136" s="49" t="s">
        <v>3855</v>
      </c>
      <c r="H136" s="22">
        <f>VLOOKUP(A136,法買賣!A:P,4,0)</f>
        <v>0</v>
      </c>
      <c r="I136" s="22">
        <f>VLOOKUP(A136,法買賣!A:P,5,0)</f>
        <v>0</v>
      </c>
    </row>
    <row r="137" spans="1:9" x14ac:dyDescent="0.15">
      <c r="A137" s="50"/>
      <c r="B137" s="21">
        <f>VLOOKUP(A137,法買賣!A:L,3,0)</f>
        <v>0</v>
      </c>
      <c r="C137" s="49" t="s">
        <v>3857</v>
      </c>
      <c r="H137" s="22">
        <f>VLOOKUP(A137,法買賣!A:P,4,0)</f>
        <v>0</v>
      </c>
      <c r="I137" s="22">
        <f>VLOOKUP(A137,法買賣!A:P,5,0)</f>
        <v>0</v>
      </c>
    </row>
    <row r="138" spans="1:9" x14ac:dyDescent="0.15">
      <c r="A138" s="50"/>
      <c r="B138" s="21">
        <f>VLOOKUP(A138,法買賣!A:L,3,0)</f>
        <v>0</v>
      </c>
      <c r="C138" s="49" t="s">
        <v>3859</v>
      </c>
      <c r="H138" s="22">
        <f>VLOOKUP(A138,法買賣!A:P,4,0)</f>
        <v>0</v>
      </c>
      <c r="I138" s="22">
        <f>VLOOKUP(A138,法買賣!A:P,5,0)</f>
        <v>0</v>
      </c>
    </row>
    <row r="139" spans="1:9" x14ac:dyDescent="0.15">
      <c r="A139" s="50"/>
      <c r="B139" s="21">
        <f>VLOOKUP(A139,法買賣!A:L,3,0)</f>
        <v>0</v>
      </c>
      <c r="C139" s="49" t="s">
        <v>3861</v>
      </c>
      <c r="H139" s="22">
        <f>VLOOKUP(A139,法買賣!A:P,4,0)</f>
        <v>0</v>
      </c>
      <c r="I139" s="22">
        <f>VLOOKUP(A139,法買賣!A:P,5,0)</f>
        <v>0</v>
      </c>
    </row>
    <row r="140" spans="1:9" x14ac:dyDescent="0.15">
      <c r="A140" s="50"/>
      <c r="B140" s="21">
        <f>VLOOKUP(A140,法買賣!A:L,3,0)</f>
        <v>0</v>
      </c>
      <c r="C140" s="49" t="s">
        <v>3863</v>
      </c>
      <c r="H140" s="22">
        <f>VLOOKUP(A140,法買賣!A:P,4,0)</f>
        <v>0</v>
      </c>
      <c r="I140" s="22">
        <f>VLOOKUP(A140,法買賣!A:P,5,0)</f>
        <v>0</v>
      </c>
    </row>
    <row r="141" spans="1:9" x14ac:dyDescent="0.15">
      <c r="A141" s="50"/>
      <c r="B141" s="21">
        <f>VLOOKUP(A141,法買賣!A:L,3,0)</f>
        <v>0</v>
      </c>
      <c r="C141" s="49" t="s">
        <v>3865</v>
      </c>
      <c r="H141" s="22">
        <f>VLOOKUP(A141,法買賣!A:P,4,0)</f>
        <v>0</v>
      </c>
      <c r="I141" s="22">
        <f>VLOOKUP(A141,法買賣!A:P,5,0)</f>
        <v>0</v>
      </c>
    </row>
    <row r="142" spans="1:9" x14ac:dyDescent="0.15">
      <c r="A142" s="50"/>
      <c r="B142" s="21">
        <f>VLOOKUP(A142,法買賣!A:L,3,0)</f>
        <v>0</v>
      </c>
      <c r="C142" s="49" t="s">
        <v>3867</v>
      </c>
      <c r="H142" s="22">
        <f>VLOOKUP(A142,法買賣!A:P,4,0)</f>
        <v>0</v>
      </c>
      <c r="I142" s="22">
        <f>VLOOKUP(A142,法買賣!A:P,5,0)</f>
        <v>0</v>
      </c>
    </row>
    <row r="143" spans="1:9" x14ac:dyDescent="0.15">
      <c r="A143" s="50"/>
      <c r="B143" s="21">
        <f>VLOOKUP(A143,法買賣!A:L,3,0)</f>
        <v>0</v>
      </c>
      <c r="C143" s="49" t="s">
        <v>3743</v>
      </c>
      <c r="H143" s="22">
        <f>VLOOKUP(A143,法買賣!A:P,4,0)</f>
        <v>0</v>
      </c>
      <c r="I143" s="22">
        <f>VLOOKUP(A143,法買賣!A:P,5,0)</f>
        <v>0</v>
      </c>
    </row>
    <row r="144" spans="1:9" x14ac:dyDescent="0.15">
      <c r="A144" s="50"/>
      <c r="H144" s="22">
        <f>VLOOKUP(A144,法買賣!A:P,4,0)</f>
        <v>0</v>
      </c>
      <c r="I144" s="22">
        <f>VLOOKUP(A144,法買賣!A:P,5,0)</f>
        <v>0</v>
      </c>
    </row>
    <row r="145" spans="1:2" s="21" customFormat="1" x14ac:dyDescent="0.15">
      <c r="A145" s="50"/>
    </row>
    <row r="146" spans="1:2" s="21" customFormat="1" x14ac:dyDescent="0.15">
      <c r="A146" s="50"/>
    </row>
    <row r="147" spans="1:2" s="21" customFormat="1" x14ac:dyDescent="0.15">
      <c r="A147" s="50"/>
    </row>
    <row r="148" spans="1:2" s="21" customFormat="1" x14ac:dyDescent="0.15"/>
    <row r="149" spans="1:2" s="21" customFormat="1" ht="20" x14ac:dyDescent="0.15">
      <c r="A149" s="51" t="s">
        <v>3582</v>
      </c>
    </row>
    <row r="150" spans="1:2" s="21" customFormat="1" x14ac:dyDescent="0.15">
      <c r="A150" s="49" t="s">
        <v>3871</v>
      </c>
      <c r="B150" s="22"/>
    </row>
    <row r="151" spans="1:2" s="21" customFormat="1" x14ac:dyDescent="0.15">
      <c r="A151" s="49" t="s">
        <v>3872</v>
      </c>
      <c r="B151" s="22"/>
    </row>
    <row r="152" spans="1:2" s="21" customFormat="1" x14ac:dyDescent="0.15">
      <c r="A152" s="49" t="s">
        <v>3873</v>
      </c>
      <c r="B152" s="22"/>
    </row>
    <row r="153" spans="1:2" s="21" customFormat="1" x14ac:dyDescent="0.15">
      <c r="A153" s="49" t="s">
        <v>3874</v>
      </c>
      <c r="B153" s="22"/>
    </row>
    <row r="154" spans="1:2" s="21" customFormat="1" x14ac:dyDescent="0.15">
      <c r="A154" s="49" t="s">
        <v>3875</v>
      </c>
      <c r="B154" s="22"/>
    </row>
    <row r="155" spans="1:2" s="21" customFormat="1" x14ac:dyDescent="0.15">
      <c r="A155" s="49" t="s">
        <v>3876</v>
      </c>
      <c r="B155" s="22"/>
    </row>
    <row r="156" spans="1:2" s="21" customFormat="1" x14ac:dyDescent="0.15">
      <c r="A156" s="49" t="s">
        <v>3877</v>
      </c>
      <c r="B156" s="22"/>
    </row>
    <row r="157" spans="1:2" s="21" customFormat="1" x14ac:dyDescent="0.15">
      <c r="A157" s="49" t="s">
        <v>3878</v>
      </c>
      <c r="B157" s="22"/>
    </row>
    <row r="158" spans="1:2" s="21" customFormat="1" x14ac:dyDescent="0.15">
      <c r="A158" s="49" t="s">
        <v>3879</v>
      </c>
      <c r="B158" s="22"/>
    </row>
    <row r="159" spans="1:2" s="21" customFormat="1" x14ac:dyDescent="0.15">
      <c r="A159" s="49" t="s">
        <v>3880</v>
      </c>
      <c r="B159" s="22"/>
    </row>
    <row r="160" spans="1:2" s="21" customFormat="1" x14ac:dyDescent="0.15">
      <c r="A160" s="49" t="s">
        <v>3881</v>
      </c>
      <c r="B160" s="22"/>
    </row>
    <row r="161" spans="1:2" s="21" customFormat="1" x14ac:dyDescent="0.15">
      <c r="A161" s="49" t="s">
        <v>3882</v>
      </c>
      <c r="B161" s="22"/>
    </row>
    <row r="162" spans="1:2" s="21" customFormat="1" x14ac:dyDescent="0.15">
      <c r="A162" s="49" t="s">
        <v>3883</v>
      </c>
      <c r="B162" s="22"/>
    </row>
    <row r="163" spans="1:2" s="21" customFormat="1" x14ac:dyDescent="0.15">
      <c r="A163" s="49" t="s">
        <v>3884</v>
      </c>
      <c r="B163" s="22"/>
    </row>
    <row r="164" spans="1:2" s="21" customFormat="1" x14ac:dyDescent="0.15">
      <c r="A164" s="49" t="s">
        <v>3885</v>
      </c>
      <c r="B164" s="22"/>
    </row>
    <row r="165" spans="1:2" s="21" customFormat="1" x14ac:dyDescent="0.15">
      <c r="A165" s="49" t="s">
        <v>3886</v>
      </c>
      <c r="B165" s="22"/>
    </row>
    <row r="166" spans="1:2" s="21" customFormat="1" x14ac:dyDescent="0.15">
      <c r="A166" s="49" t="s">
        <v>3887</v>
      </c>
      <c r="B166" s="22"/>
    </row>
    <row r="167" spans="1:2" s="21" customFormat="1" x14ac:dyDescent="0.15">
      <c r="A167" s="49" t="s">
        <v>3888</v>
      </c>
      <c r="B167" s="22"/>
    </row>
    <row r="168" spans="1:2" s="21" customFormat="1" x14ac:dyDescent="0.15">
      <c r="A168" s="49" t="s">
        <v>3889</v>
      </c>
      <c r="B168" s="22"/>
    </row>
    <row r="169" spans="1:2" s="21" customFormat="1" x14ac:dyDescent="0.15">
      <c r="A169" s="49" t="s">
        <v>3890</v>
      </c>
      <c r="B169" s="22"/>
    </row>
    <row r="170" spans="1:2" s="21" customFormat="1" x14ac:dyDescent="0.15">
      <c r="A170" s="49" t="s">
        <v>3891</v>
      </c>
      <c r="B170" s="22"/>
    </row>
    <row r="171" spans="1:2" s="21" customFormat="1" x14ac:dyDescent="0.15">
      <c r="A171" s="49" t="s">
        <v>3892</v>
      </c>
      <c r="B171" s="22"/>
    </row>
    <row r="172" spans="1:2" s="21" customFormat="1" x14ac:dyDescent="0.15">
      <c r="A172" s="49" t="s">
        <v>3893</v>
      </c>
      <c r="B172" s="22"/>
    </row>
    <row r="173" spans="1:2" s="21" customFormat="1" x14ac:dyDescent="0.15">
      <c r="A173" s="49" t="s">
        <v>3894</v>
      </c>
      <c r="B173" s="22"/>
    </row>
    <row r="174" spans="1:2" s="21" customFormat="1" x14ac:dyDescent="0.15">
      <c r="A174" s="49" t="s">
        <v>3895</v>
      </c>
      <c r="B174" s="22"/>
    </row>
    <row r="175" spans="1:2" s="21" customFormat="1" x14ac:dyDescent="0.15">
      <c r="A175" s="49" t="s">
        <v>3896</v>
      </c>
      <c r="B175" s="22"/>
    </row>
    <row r="176" spans="1:2" s="21" customFormat="1" x14ac:dyDescent="0.15">
      <c r="A176" s="49" t="s">
        <v>3897</v>
      </c>
      <c r="B176" s="22"/>
    </row>
    <row r="177" spans="1:2" s="21" customFormat="1" x14ac:dyDescent="0.15">
      <c r="A177" s="49" t="s">
        <v>3898</v>
      </c>
      <c r="B177" s="22"/>
    </row>
    <row r="178" spans="1:2" s="21" customFormat="1" x14ac:dyDescent="0.15">
      <c r="A178" s="49" t="s">
        <v>3899</v>
      </c>
      <c r="B178" s="22"/>
    </row>
    <row r="179" spans="1:2" s="21" customFormat="1" x14ac:dyDescent="0.15">
      <c r="A179" s="49" t="s">
        <v>3900</v>
      </c>
      <c r="B179" s="22"/>
    </row>
    <row r="180" spans="1:2" s="21" customFormat="1" x14ac:dyDescent="0.15">
      <c r="A180" s="49" t="s">
        <v>3901</v>
      </c>
      <c r="B180" s="22"/>
    </row>
    <row r="181" spans="1:2" s="21" customFormat="1" x14ac:dyDescent="0.15">
      <c r="A181" s="49" t="s">
        <v>3902</v>
      </c>
      <c r="B181" s="22"/>
    </row>
    <row r="182" spans="1:2" s="21" customFormat="1" x14ac:dyDescent="0.15">
      <c r="A182" s="49" t="s">
        <v>3903</v>
      </c>
      <c r="B182" s="22"/>
    </row>
    <row r="183" spans="1:2" s="21" customFormat="1" x14ac:dyDescent="0.15">
      <c r="A183" s="49" t="s">
        <v>3904</v>
      </c>
      <c r="B183" s="22"/>
    </row>
    <row r="184" spans="1:2" s="21" customFormat="1" x14ac:dyDescent="0.15">
      <c r="A184" s="49" t="s">
        <v>3905</v>
      </c>
      <c r="B184" s="22"/>
    </row>
    <row r="185" spans="1:2" s="21" customFormat="1" x14ac:dyDescent="0.15">
      <c r="A185" s="49" t="s">
        <v>3906</v>
      </c>
      <c r="B185" s="22"/>
    </row>
    <row r="186" spans="1:2" s="21" customFormat="1" x14ac:dyDescent="0.15">
      <c r="A186" s="49" t="s">
        <v>3907</v>
      </c>
      <c r="B186" s="22"/>
    </row>
    <row r="187" spans="1:2" s="21" customFormat="1" x14ac:dyDescent="0.15">
      <c r="A187" s="49" t="s">
        <v>3908</v>
      </c>
      <c r="B187" s="22"/>
    </row>
    <row r="188" spans="1:2" s="21" customFormat="1" x14ac:dyDescent="0.15">
      <c r="A188" s="49" t="s">
        <v>3909</v>
      </c>
      <c r="B188" s="22"/>
    </row>
    <row r="189" spans="1:2" s="21" customFormat="1" x14ac:dyDescent="0.15">
      <c r="A189" s="49" t="s">
        <v>3910</v>
      </c>
      <c r="B189" s="22"/>
    </row>
    <row r="190" spans="1:2" s="21" customFormat="1" x14ac:dyDescent="0.15">
      <c r="A190" s="49" t="s">
        <v>3911</v>
      </c>
      <c r="B190" s="22"/>
    </row>
    <row r="191" spans="1:2" s="21" customFormat="1" x14ac:dyDescent="0.15">
      <c r="A191" s="49" t="s">
        <v>3912</v>
      </c>
      <c r="B191" s="22"/>
    </row>
    <row r="192" spans="1:2" s="21" customFormat="1" x14ac:dyDescent="0.15">
      <c r="A192" s="49" t="s">
        <v>3913</v>
      </c>
      <c r="B192" s="22"/>
    </row>
    <row r="193" spans="1:2" s="21" customFormat="1" x14ac:dyDescent="0.15">
      <c r="A193" s="49" t="s">
        <v>3914</v>
      </c>
      <c r="B193" s="22"/>
    </row>
    <row r="194" spans="1:2" s="21" customFormat="1" x14ac:dyDescent="0.15">
      <c r="A194" s="49" t="s">
        <v>3915</v>
      </c>
      <c r="B194" s="22"/>
    </row>
    <row r="195" spans="1:2" s="21" customFormat="1" x14ac:dyDescent="0.15">
      <c r="A195" s="49" t="s">
        <v>3916</v>
      </c>
      <c r="B195" s="22"/>
    </row>
    <row r="196" spans="1:2" s="21" customFormat="1" x14ac:dyDescent="0.15">
      <c r="A196" s="49" t="s">
        <v>3917</v>
      </c>
      <c r="B196" s="22"/>
    </row>
    <row r="197" spans="1:2" s="21" customFormat="1" x14ac:dyDescent="0.15">
      <c r="A197" s="49" t="s">
        <v>3918</v>
      </c>
      <c r="B197" s="22"/>
    </row>
    <row r="198" spans="1:2" s="21" customFormat="1" x14ac:dyDescent="0.15">
      <c r="A198" s="49" t="s">
        <v>3919</v>
      </c>
      <c r="B198" s="22"/>
    </row>
    <row r="199" spans="1:2" s="21" customFormat="1" x14ac:dyDescent="0.15">
      <c r="A199" s="49" t="s">
        <v>3920</v>
      </c>
      <c r="B199" s="22"/>
    </row>
    <row r="200" spans="1:2" s="21" customFormat="1" x14ac:dyDescent="0.15">
      <c r="A200" s="49" t="s">
        <v>3921</v>
      </c>
      <c r="B200" s="22"/>
    </row>
    <row r="201" spans="1:2" s="21" customFormat="1" x14ac:dyDescent="0.15">
      <c r="A201" s="49" t="s">
        <v>3922</v>
      </c>
      <c r="B201" s="22"/>
    </row>
    <row r="202" spans="1:2" s="21" customFormat="1" x14ac:dyDescent="0.15">
      <c r="A202" s="49" t="s">
        <v>3923</v>
      </c>
      <c r="B202" s="22"/>
    </row>
    <row r="203" spans="1:2" s="21" customFormat="1" x14ac:dyDescent="0.15">
      <c r="A203" s="49" t="s">
        <v>3924</v>
      </c>
      <c r="B203" s="22"/>
    </row>
    <row r="204" spans="1:2" s="21" customFormat="1" x14ac:dyDescent="0.15">
      <c r="A204" s="49" t="s">
        <v>3925</v>
      </c>
      <c r="B204" s="22"/>
    </row>
    <row r="205" spans="1:2" s="21" customFormat="1" x14ac:dyDescent="0.15">
      <c r="A205" s="49" t="s">
        <v>3926</v>
      </c>
      <c r="B205" s="22"/>
    </row>
    <row r="206" spans="1:2" s="21" customFormat="1" x14ac:dyDescent="0.15">
      <c r="A206" s="49" t="s">
        <v>3927</v>
      </c>
      <c r="B206" s="22"/>
    </row>
    <row r="207" spans="1:2" s="21" customFormat="1" x14ac:dyDescent="0.15">
      <c r="A207" s="49" t="s">
        <v>3928</v>
      </c>
      <c r="B207" s="22"/>
    </row>
    <row r="208" spans="1:2" s="21" customFormat="1" x14ac:dyDescent="0.15">
      <c r="A208" s="49" t="s">
        <v>3929</v>
      </c>
      <c r="B208" s="22"/>
    </row>
    <row r="209" spans="1:9" x14ac:dyDescent="0.15">
      <c r="A209" s="49" t="s">
        <v>3930</v>
      </c>
      <c r="B209" s="22"/>
    </row>
    <row r="215" spans="1:9" ht="21" thickBot="1" x14ac:dyDescent="0.2">
      <c r="A215" s="51" t="s">
        <v>3583</v>
      </c>
    </row>
    <row r="216" spans="1:9" s="20" customFormat="1" ht="20" customHeight="1" thickTop="1" thickBot="1" x14ac:dyDescent="0.2">
      <c r="A216" s="56" t="s">
        <v>156</v>
      </c>
      <c r="B216" s="56" t="s">
        <v>157</v>
      </c>
      <c r="C216" s="56" t="s">
        <v>3579</v>
      </c>
      <c r="D216" s="57"/>
      <c r="E216" s="57"/>
      <c r="F216" s="57"/>
      <c r="G216" s="58"/>
      <c r="H216" s="56" t="s">
        <v>3580</v>
      </c>
      <c r="I216" s="56" t="s">
        <v>3581</v>
      </c>
    </row>
    <row r="217" spans="1:9" ht="16" thickTop="1" x14ac:dyDescent="0.15">
      <c r="A217" s="50"/>
      <c r="B217" s="21">
        <f>VLOOKUP(A217,法買賣!A:L,3,0)</f>
        <v>0</v>
      </c>
      <c r="C217" s="49" t="s">
        <v>3931</v>
      </c>
      <c r="E217" s="21"/>
      <c r="F217" s="22"/>
      <c r="H217" s="22">
        <f>VLOOKUP(A217,法買賣!A:P,4,0)</f>
        <v>0</v>
      </c>
      <c r="I217" s="22">
        <f>VLOOKUP(A217,法買賣!A:P,5,0)</f>
        <v>0</v>
      </c>
    </row>
    <row r="218" spans="1:9" x14ac:dyDescent="0.15">
      <c r="A218" s="50">
        <v>2317</v>
      </c>
      <c r="B218" s="21" t="str">
        <f>VLOOKUP(A218,法買賣!A:L,3,0)</f>
        <v>鴻海</v>
      </c>
      <c r="C218" s="49" t="s">
        <v>3932</v>
      </c>
      <c r="E218" s="21"/>
      <c r="F218" s="22"/>
      <c r="H218" s="22">
        <f>VLOOKUP(A218,法買賣!A:P,4,0)</f>
        <v>1507</v>
      </c>
      <c r="I218" s="22">
        <f>VLOOKUP(A218,法買賣!A:P,5,0)</f>
        <v>-351</v>
      </c>
    </row>
    <row r="219" spans="1:9" x14ac:dyDescent="0.15">
      <c r="A219" s="50"/>
      <c r="B219" s="21">
        <f>VLOOKUP(A219,法買賣!A:L,3,0)</f>
        <v>0</v>
      </c>
      <c r="C219" s="49" t="s">
        <v>3933</v>
      </c>
      <c r="E219" s="21"/>
      <c r="F219" s="22"/>
      <c r="H219" s="22">
        <f>VLOOKUP(A219,法買賣!A:P,4,0)</f>
        <v>0</v>
      </c>
      <c r="I219" s="22">
        <f>VLOOKUP(A219,法買賣!A:P,5,0)</f>
        <v>0</v>
      </c>
    </row>
    <row r="220" spans="1:9" x14ac:dyDescent="0.15">
      <c r="A220" s="50"/>
      <c r="B220" s="21">
        <f>VLOOKUP(A220,法買賣!A:L,3,0)</f>
        <v>0</v>
      </c>
      <c r="C220" s="49" t="s">
        <v>3934</v>
      </c>
      <c r="E220" s="21"/>
      <c r="F220" s="22"/>
      <c r="H220" s="22">
        <f>VLOOKUP(A220,法買賣!A:P,4,0)</f>
        <v>0</v>
      </c>
      <c r="I220" s="22">
        <f>VLOOKUP(A220,法買賣!A:P,5,0)</f>
        <v>0</v>
      </c>
    </row>
    <row r="221" spans="1:9" x14ac:dyDescent="0.15">
      <c r="A221" s="50"/>
      <c r="B221" s="21">
        <f>VLOOKUP(A221,法買賣!A:L,3,0)</f>
        <v>0</v>
      </c>
      <c r="C221" s="49" t="s">
        <v>3935</v>
      </c>
      <c r="E221" s="21"/>
      <c r="F221" s="22"/>
      <c r="H221" s="22">
        <f>VLOOKUP(A221,法買賣!A:P,4,0)</f>
        <v>0</v>
      </c>
      <c r="I221" s="22">
        <f>VLOOKUP(A221,法買賣!A:P,5,0)</f>
        <v>0</v>
      </c>
    </row>
    <row r="222" spans="1:9" x14ac:dyDescent="0.15">
      <c r="A222" s="50"/>
      <c r="B222" s="21">
        <f>VLOOKUP(A222,法買賣!A:L,3,0)</f>
        <v>0</v>
      </c>
      <c r="C222" s="49" t="s">
        <v>3936</v>
      </c>
      <c r="E222" s="21"/>
      <c r="F222" s="22"/>
      <c r="H222" s="22">
        <f>VLOOKUP(A222,法買賣!A:P,4,0)</f>
        <v>0</v>
      </c>
      <c r="I222" s="22">
        <f>VLOOKUP(A222,法買賣!A:P,5,0)</f>
        <v>0</v>
      </c>
    </row>
    <row r="223" spans="1:9" x14ac:dyDescent="0.15">
      <c r="A223" s="50"/>
      <c r="B223" s="21">
        <f>VLOOKUP(A223,法買賣!A:L,3,0)</f>
        <v>0</v>
      </c>
      <c r="C223" s="49" t="s">
        <v>3937</v>
      </c>
      <c r="E223" s="21"/>
      <c r="F223" s="22"/>
      <c r="H223" s="22">
        <f>VLOOKUP(A223,法買賣!A:P,4,0)</f>
        <v>0</v>
      </c>
      <c r="I223" s="22">
        <f>VLOOKUP(A223,法買賣!A:P,5,0)</f>
        <v>0</v>
      </c>
    </row>
    <row r="224" spans="1:9" x14ac:dyDescent="0.15">
      <c r="A224" s="50"/>
      <c r="B224" s="21">
        <f>VLOOKUP(A224,法買賣!A:L,3,0)</f>
        <v>0</v>
      </c>
      <c r="C224" s="49" t="s">
        <v>3938</v>
      </c>
      <c r="E224" s="21"/>
      <c r="F224" s="22"/>
      <c r="H224" s="22">
        <f>VLOOKUP(A224,法買賣!A:P,4,0)</f>
        <v>0</v>
      </c>
      <c r="I224" s="22">
        <f>VLOOKUP(A224,法買賣!A:P,5,0)</f>
        <v>0</v>
      </c>
    </row>
    <row r="225" spans="1:9" x14ac:dyDescent="0.15">
      <c r="A225" s="50"/>
      <c r="B225" s="21">
        <f>VLOOKUP(A225,法買賣!A:L,3,0)</f>
        <v>0</v>
      </c>
      <c r="C225" s="49" t="s">
        <v>3939</v>
      </c>
      <c r="E225" s="21"/>
      <c r="F225" s="22"/>
      <c r="H225" s="22">
        <f>VLOOKUP(A225,法買賣!A:P,4,0)</f>
        <v>0</v>
      </c>
      <c r="I225" s="22">
        <f>VLOOKUP(A225,法買賣!A:P,5,0)</f>
        <v>0</v>
      </c>
    </row>
    <row r="226" spans="1:9" x14ac:dyDescent="0.15">
      <c r="A226" s="50"/>
      <c r="B226" s="21">
        <f>VLOOKUP(A226,法買賣!A:L,3,0)</f>
        <v>0</v>
      </c>
      <c r="C226" s="49" t="s">
        <v>3940</v>
      </c>
      <c r="E226" s="21"/>
      <c r="F226" s="22"/>
      <c r="H226" s="22">
        <f>VLOOKUP(A226,法買賣!A:P,4,0)</f>
        <v>0</v>
      </c>
      <c r="I226" s="22">
        <f>VLOOKUP(A226,法買賣!A:P,5,0)</f>
        <v>0</v>
      </c>
    </row>
    <row r="227" spans="1:9" x14ac:dyDescent="0.15">
      <c r="A227" s="50"/>
      <c r="B227" s="21">
        <f>VLOOKUP(A227,法買賣!A:L,3,0)</f>
        <v>0</v>
      </c>
      <c r="C227" s="49" t="s">
        <v>3941</v>
      </c>
      <c r="E227" s="21"/>
      <c r="F227" s="22"/>
      <c r="H227" s="22">
        <f>VLOOKUP(A227,法買賣!A:P,4,0)</f>
        <v>0</v>
      </c>
      <c r="I227" s="22">
        <f>VLOOKUP(A227,法買賣!A:P,5,0)</f>
        <v>0</v>
      </c>
    </row>
    <row r="228" spans="1:9" x14ac:dyDescent="0.15">
      <c r="A228" s="50"/>
      <c r="B228" s="21">
        <f>VLOOKUP(A228,法買賣!A:L,3,0)</f>
        <v>0</v>
      </c>
      <c r="C228" s="49" t="s">
        <v>3942</v>
      </c>
      <c r="E228" s="21"/>
      <c r="F228" s="22"/>
      <c r="H228" s="22">
        <f>VLOOKUP(A228,法買賣!A:P,4,0)</f>
        <v>0</v>
      </c>
      <c r="I228" s="22">
        <f>VLOOKUP(A228,法買賣!A:P,5,0)</f>
        <v>0</v>
      </c>
    </row>
    <row r="229" spans="1:9" x14ac:dyDescent="0.15">
      <c r="A229" s="50"/>
      <c r="B229" s="21">
        <f>VLOOKUP(A229,法買賣!A:L,3,0)</f>
        <v>0</v>
      </c>
      <c r="C229" s="49" t="s">
        <v>3943</v>
      </c>
      <c r="E229" s="21"/>
      <c r="F229" s="22"/>
      <c r="H229" s="22">
        <f>VLOOKUP(A229,法買賣!A:P,4,0)</f>
        <v>0</v>
      </c>
      <c r="I229" s="22">
        <f>VLOOKUP(A229,法買賣!A:P,5,0)</f>
        <v>0</v>
      </c>
    </row>
    <row r="230" spans="1:9" x14ac:dyDescent="0.15">
      <c r="A230" s="50"/>
      <c r="B230" s="21">
        <f>VLOOKUP(A230,法買賣!A:L,3,0)</f>
        <v>0</v>
      </c>
      <c r="C230" s="49" t="s">
        <v>3944</v>
      </c>
      <c r="E230" s="21"/>
      <c r="F230" s="22"/>
      <c r="H230" s="22">
        <f>VLOOKUP(A230,法買賣!A:P,4,0)</f>
        <v>0</v>
      </c>
      <c r="I230" s="22">
        <f>VLOOKUP(A230,法買賣!A:P,5,0)</f>
        <v>0</v>
      </c>
    </row>
    <row r="231" spans="1:9" x14ac:dyDescent="0.15">
      <c r="A231" s="50"/>
      <c r="B231" s="21">
        <f>VLOOKUP(A231,法買賣!A:L,3,0)</f>
        <v>0</v>
      </c>
      <c r="C231" s="49" t="s">
        <v>3945</v>
      </c>
      <c r="E231" s="21"/>
      <c r="F231" s="22"/>
      <c r="H231" s="22">
        <f>VLOOKUP(A231,法買賣!A:P,4,0)</f>
        <v>0</v>
      </c>
      <c r="I231" s="22">
        <f>VLOOKUP(A231,法買賣!A:P,5,0)</f>
        <v>0</v>
      </c>
    </row>
    <row r="232" spans="1:9" x14ac:dyDescent="0.15">
      <c r="A232" s="50"/>
      <c r="B232" s="21">
        <f>VLOOKUP(A232,法買賣!A:L,3,0)</f>
        <v>0</v>
      </c>
      <c r="C232" s="49" t="s">
        <v>3946</v>
      </c>
      <c r="E232" s="21"/>
      <c r="F232" s="22"/>
      <c r="H232" s="22">
        <f>VLOOKUP(A232,法買賣!A:P,4,0)</f>
        <v>0</v>
      </c>
      <c r="I232" s="22">
        <f>VLOOKUP(A232,法買賣!A:P,5,0)</f>
        <v>0</v>
      </c>
    </row>
    <row r="233" spans="1:9" x14ac:dyDescent="0.15">
      <c r="A233" s="50"/>
      <c r="B233" s="21">
        <f>VLOOKUP(A233,法買賣!A:L,3,0)</f>
        <v>0</v>
      </c>
      <c r="C233" s="49" t="s">
        <v>3947</v>
      </c>
      <c r="E233" s="21"/>
      <c r="F233" s="22"/>
      <c r="H233" s="22">
        <f>VLOOKUP(A233,法買賣!A:P,4,0)</f>
        <v>0</v>
      </c>
      <c r="I233" s="22">
        <f>VLOOKUP(A233,法買賣!A:P,5,0)</f>
        <v>0</v>
      </c>
    </row>
    <row r="234" spans="1:9" x14ac:dyDescent="0.15">
      <c r="A234" s="50"/>
      <c r="B234" s="21">
        <f>VLOOKUP(A234,法買賣!A:L,3,0)</f>
        <v>0</v>
      </c>
      <c r="C234" s="49" t="s">
        <v>3948</v>
      </c>
      <c r="E234" s="21"/>
      <c r="F234" s="22"/>
      <c r="H234" s="22">
        <f>VLOOKUP(A234,法買賣!A:P,4,0)</f>
        <v>0</v>
      </c>
      <c r="I234" s="22">
        <f>VLOOKUP(A234,法買賣!A:P,5,0)</f>
        <v>0</v>
      </c>
    </row>
    <row r="235" spans="1:9" x14ac:dyDescent="0.15">
      <c r="A235" s="50"/>
      <c r="B235" s="21">
        <f>VLOOKUP(A235,法買賣!A:L,3,0)</f>
        <v>0</v>
      </c>
      <c r="C235" s="49" t="s">
        <v>3949</v>
      </c>
      <c r="E235" s="21"/>
      <c r="F235" s="22"/>
      <c r="H235" s="22">
        <f>VLOOKUP(A235,法買賣!A:P,4,0)</f>
        <v>0</v>
      </c>
      <c r="I235" s="22">
        <f>VLOOKUP(A235,法買賣!A:P,5,0)</f>
        <v>0</v>
      </c>
    </row>
    <row r="236" spans="1:9" x14ac:dyDescent="0.15">
      <c r="A236" s="50"/>
      <c r="B236" s="21">
        <f>VLOOKUP(A236,法買賣!A:L,3,0)</f>
        <v>0</v>
      </c>
      <c r="C236" s="49" t="s">
        <v>3950</v>
      </c>
      <c r="E236" s="21"/>
      <c r="F236" s="22"/>
      <c r="H236" s="22">
        <f>VLOOKUP(A236,法買賣!A:P,4,0)</f>
        <v>0</v>
      </c>
      <c r="I236" s="22">
        <f>VLOOKUP(A236,法買賣!A:P,5,0)</f>
        <v>0</v>
      </c>
    </row>
    <row r="237" spans="1:9" x14ac:dyDescent="0.15">
      <c r="A237" s="50"/>
      <c r="B237" s="21">
        <f>VLOOKUP(A237,法買賣!A:L,3,0)</f>
        <v>0</v>
      </c>
      <c r="C237" s="49" t="s">
        <v>3951</v>
      </c>
      <c r="E237" s="21"/>
      <c r="F237" s="22"/>
      <c r="H237" s="22">
        <f>VLOOKUP(A237,法買賣!A:P,4,0)</f>
        <v>0</v>
      </c>
      <c r="I237" s="22">
        <f>VLOOKUP(A237,法買賣!A:P,5,0)</f>
        <v>0</v>
      </c>
    </row>
    <row r="238" spans="1:9" x14ac:dyDescent="0.15">
      <c r="A238" s="50"/>
      <c r="B238" s="21">
        <f>VLOOKUP(A238,法買賣!A:L,3,0)</f>
        <v>0</v>
      </c>
      <c r="C238" s="49" t="s">
        <v>3952</v>
      </c>
      <c r="E238" s="21"/>
      <c r="F238" s="22"/>
      <c r="H238" s="22">
        <f>VLOOKUP(A238,法買賣!A:P,4,0)</f>
        <v>0</v>
      </c>
      <c r="I238" s="22">
        <f>VLOOKUP(A238,法買賣!A:P,5,0)</f>
        <v>0</v>
      </c>
    </row>
    <row r="239" spans="1:9" x14ac:dyDescent="0.15">
      <c r="A239" s="50"/>
      <c r="B239" s="21">
        <f>VLOOKUP(A239,法買賣!A:L,3,0)</f>
        <v>0</v>
      </c>
      <c r="C239" s="49" t="s">
        <v>3953</v>
      </c>
      <c r="E239" s="21"/>
      <c r="F239" s="22"/>
      <c r="H239" s="22">
        <f>VLOOKUP(A239,法買賣!A:P,4,0)</f>
        <v>0</v>
      </c>
      <c r="I239" s="22">
        <f>VLOOKUP(A239,法買賣!A:P,5,0)</f>
        <v>0</v>
      </c>
    </row>
    <row r="240" spans="1:9" x14ac:dyDescent="0.15">
      <c r="A240" s="50"/>
      <c r="B240" s="21">
        <f>VLOOKUP(A240,法買賣!A:L,3,0)</f>
        <v>0</v>
      </c>
      <c r="C240" s="49" t="s">
        <v>3954</v>
      </c>
      <c r="E240" s="21"/>
      <c r="F240" s="22"/>
      <c r="H240" s="22">
        <f>VLOOKUP(A240,法買賣!A:P,4,0)</f>
        <v>0</v>
      </c>
      <c r="I240" s="22">
        <f>VLOOKUP(A240,法買賣!A:P,5,0)</f>
        <v>0</v>
      </c>
    </row>
    <row r="241" spans="1:9" x14ac:dyDescent="0.15">
      <c r="A241" s="50"/>
      <c r="B241" s="21">
        <f>VLOOKUP(A241,法買賣!A:L,3,0)</f>
        <v>0</v>
      </c>
      <c r="C241" s="49" t="s">
        <v>3955</v>
      </c>
      <c r="E241" s="21"/>
      <c r="F241" s="22"/>
      <c r="H241" s="22">
        <f>VLOOKUP(A241,法買賣!A:P,4,0)</f>
        <v>0</v>
      </c>
      <c r="I241" s="22">
        <f>VLOOKUP(A241,法買賣!A:P,5,0)</f>
        <v>0</v>
      </c>
    </row>
    <row r="242" spans="1:9" x14ac:dyDescent="0.15">
      <c r="A242" s="50"/>
      <c r="B242" s="21">
        <f>VLOOKUP(A242,法買賣!A:L,3,0)</f>
        <v>0</v>
      </c>
      <c r="C242" s="49" t="s">
        <v>3956</v>
      </c>
      <c r="E242" s="21"/>
      <c r="F242" s="22"/>
      <c r="H242" s="22">
        <f>VLOOKUP(A242,法買賣!A:P,4,0)</f>
        <v>0</v>
      </c>
      <c r="I242" s="22">
        <f>VLOOKUP(A242,法買賣!A:P,5,0)</f>
        <v>0</v>
      </c>
    </row>
    <row r="243" spans="1:9" x14ac:dyDescent="0.15">
      <c r="A243" s="50"/>
      <c r="B243" s="21">
        <f>VLOOKUP(A243,法買賣!A:L,3,0)</f>
        <v>0</v>
      </c>
      <c r="C243" s="49" t="s">
        <v>3957</v>
      </c>
      <c r="E243" s="21"/>
      <c r="F243" s="22"/>
      <c r="H243" s="22">
        <f>VLOOKUP(A243,法買賣!A:P,4,0)</f>
        <v>0</v>
      </c>
      <c r="I243" s="22">
        <f>VLOOKUP(A243,法買賣!A:P,5,0)</f>
        <v>0</v>
      </c>
    </row>
    <row r="244" spans="1:9" x14ac:dyDescent="0.15">
      <c r="A244" s="50"/>
      <c r="B244" s="21">
        <f>VLOOKUP(A244,法買賣!A:L,3,0)</f>
        <v>0</v>
      </c>
      <c r="C244" s="49" t="s">
        <v>3958</v>
      </c>
      <c r="E244" s="21"/>
      <c r="F244" s="22"/>
      <c r="H244" s="22">
        <f>VLOOKUP(A244,法買賣!A:P,4,0)</f>
        <v>0</v>
      </c>
      <c r="I244" s="22">
        <f>VLOOKUP(A244,法買賣!A:P,5,0)</f>
        <v>0</v>
      </c>
    </row>
    <row r="245" spans="1:9" x14ac:dyDescent="0.15">
      <c r="A245" s="50"/>
      <c r="B245" s="21">
        <f>VLOOKUP(A245,法買賣!A:L,3,0)</f>
        <v>0</v>
      </c>
      <c r="C245" s="49" t="s">
        <v>3959</v>
      </c>
      <c r="E245" s="21"/>
      <c r="F245" s="22"/>
      <c r="H245" s="22">
        <f>VLOOKUP(A245,法買賣!A:P,4,0)</f>
        <v>0</v>
      </c>
      <c r="I245" s="22">
        <f>VLOOKUP(A245,法買賣!A:P,5,0)</f>
        <v>0</v>
      </c>
    </row>
    <row r="246" spans="1:9" x14ac:dyDescent="0.15">
      <c r="A246" s="50"/>
      <c r="B246" s="21">
        <f>VLOOKUP(A246,法買賣!A:L,3,0)</f>
        <v>0</v>
      </c>
      <c r="C246" s="49" t="s">
        <v>3960</v>
      </c>
      <c r="E246" s="21"/>
      <c r="F246" s="22"/>
      <c r="H246" s="22">
        <f>VLOOKUP(A246,法買賣!A:P,4,0)</f>
        <v>0</v>
      </c>
      <c r="I246" s="22">
        <f>VLOOKUP(A246,法買賣!A:P,5,0)</f>
        <v>0</v>
      </c>
    </row>
    <row r="247" spans="1:9" x14ac:dyDescent="0.15">
      <c r="A247" s="50"/>
      <c r="B247" s="21">
        <f>VLOOKUP(A247,法買賣!A:L,3,0)</f>
        <v>0</v>
      </c>
      <c r="C247" s="49" t="s">
        <v>3961</v>
      </c>
      <c r="E247" s="21"/>
      <c r="F247" s="22"/>
      <c r="H247" s="22">
        <f>VLOOKUP(A247,法買賣!A:P,4,0)</f>
        <v>0</v>
      </c>
      <c r="I247" s="22">
        <f>VLOOKUP(A247,法買賣!A:P,5,0)</f>
        <v>0</v>
      </c>
    </row>
    <row r="248" spans="1:9" x14ac:dyDescent="0.15">
      <c r="A248" s="50"/>
      <c r="B248" s="21">
        <f>VLOOKUP(A248,法買賣!A:L,3,0)</f>
        <v>0</v>
      </c>
      <c r="C248" s="49" t="s">
        <v>3962</v>
      </c>
      <c r="E248" s="21"/>
      <c r="F248" s="22"/>
      <c r="H248" s="22">
        <f>VLOOKUP(A248,法買賣!A:P,4,0)</f>
        <v>0</v>
      </c>
      <c r="I248" s="22">
        <f>VLOOKUP(A248,法買賣!A:P,5,0)</f>
        <v>0</v>
      </c>
    </row>
    <row r="249" spans="1:9" x14ac:dyDescent="0.15">
      <c r="A249" s="50"/>
      <c r="B249" s="21">
        <f>VLOOKUP(A249,法買賣!A:L,3,0)</f>
        <v>0</v>
      </c>
      <c r="C249" s="49" t="s">
        <v>3963</v>
      </c>
      <c r="E249" s="21"/>
      <c r="F249" s="22"/>
      <c r="H249" s="22">
        <f>VLOOKUP(A249,法買賣!A:P,4,0)</f>
        <v>0</v>
      </c>
      <c r="I249" s="22">
        <f>VLOOKUP(A249,法買賣!A:P,5,0)</f>
        <v>0</v>
      </c>
    </row>
    <row r="250" spans="1:9" x14ac:dyDescent="0.15">
      <c r="A250" s="50"/>
      <c r="B250" s="21">
        <f>VLOOKUP(A250,法買賣!A:L,3,0)</f>
        <v>0</v>
      </c>
      <c r="C250" s="49" t="s">
        <v>3964</v>
      </c>
      <c r="E250" s="21"/>
      <c r="F250" s="22"/>
      <c r="H250" s="22">
        <f>VLOOKUP(A250,法買賣!A:P,4,0)</f>
        <v>0</v>
      </c>
      <c r="I250" s="22">
        <f>VLOOKUP(A250,法買賣!A:P,5,0)</f>
        <v>0</v>
      </c>
    </row>
    <row r="251" spans="1:9" x14ac:dyDescent="0.15">
      <c r="A251" s="50"/>
      <c r="B251" s="21">
        <f>VLOOKUP(A251,法買賣!A:L,3,0)</f>
        <v>0</v>
      </c>
      <c r="C251" s="49" t="s">
        <v>3965</v>
      </c>
      <c r="E251" s="21"/>
      <c r="F251" s="22"/>
      <c r="H251" s="22">
        <f>VLOOKUP(A251,法買賣!A:P,4,0)</f>
        <v>0</v>
      </c>
      <c r="I251" s="22">
        <f>VLOOKUP(A251,法買賣!A:P,5,0)</f>
        <v>0</v>
      </c>
    </row>
    <row r="252" spans="1:9" x14ac:dyDescent="0.15">
      <c r="A252" s="50"/>
      <c r="B252" s="21">
        <f>VLOOKUP(A252,法買賣!A:L,3,0)</f>
        <v>0</v>
      </c>
      <c r="C252" s="49" t="s">
        <v>3966</v>
      </c>
      <c r="E252" s="21"/>
      <c r="F252" s="22"/>
      <c r="H252" s="22">
        <f>VLOOKUP(A252,法買賣!A:P,4,0)</f>
        <v>0</v>
      </c>
      <c r="I252" s="22">
        <f>VLOOKUP(A252,法買賣!A:P,5,0)</f>
        <v>0</v>
      </c>
    </row>
    <row r="253" spans="1:9" x14ac:dyDescent="0.15">
      <c r="A253" s="50"/>
      <c r="B253" s="21">
        <f>VLOOKUP(A253,法買賣!A:L,3,0)</f>
        <v>0</v>
      </c>
      <c r="C253" s="49" t="s">
        <v>3967</v>
      </c>
      <c r="E253" s="21"/>
      <c r="F253" s="22"/>
      <c r="H253" s="22">
        <f>VLOOKUP(A253,法買賣!A:P,4,0)</f>
        <v>0</v>
      </c>
      <c r="I253" s="22">
        <f>VLOOKUP(A253,法買賣!A:P,5,0)</f>
        <v>0</v>
      </c>
    </row>
    <row r="254" spans="1:9" x14ac:dyDescent="0.15">
      <c r="A254" s="50"/>
      <c r="B254" s="21">
        <f>VLOOKUP(A254,法買賣!A:L,3,0)</f>
        <v>0</v>
      </c>
      <c r="C254" s="49" t="s">
        <v>3968</v>
      </c>
      <c r="E254" s="21"/>
      <c r="F254" s="22"/>
      <c r="H254" s="22">
        <f>VLOOKUP(A254,法買賣!A:P,4,0)</f>
        <v>0</v>
      </c>
      <c r="I254" s="22">
        <f>VLOOKUP(A254,法買賣!A:P,5,0)</f>
        <v>0</v>
      </c>
    </row>
    <row r="255" spans="1:9" x14ac:dyDescent="0.15">
      <c r="A255" s="50"/>
      <c r="B255" s="21">
        <f>VLOOKUP(A255,法買賣!A:L,3,0)</f>
        <v>0</v>
      </c>
      <c r="C255" s="49" t="s">
        <v>3969</v>
      </c>
      <c r="E255" s="21"/>
      <c r="F255" s="22"/>
      <c r="H255" s="22">
        <f>VLOOKUP(A255,法買賣!A:P,4,0)</f>
        <v>0</v>
      </c>
      <c r="I255" s="22">
        <f>VLOOKUP(A255,法買賣!A:P,5,0)</f>
        <v>0</v>
      </c>
    </row>
    <row r="256" spans="1:9" x14ac:dyDescent="0.15">
      <c r="A256" s="50"/>
      <c r="B256" s="21">
        <f>VLOOKUP(A256,法買賣!A:L,3,0)</f>
        <v>0</v>
      </c>
      <c r="C256" s="49" t="s">
        <v>3970</v>
      </c>
      <c r="E256" s="21"/>
      <c r="F256" s="22"/>
      <c r="H256" s="22">
        <f>VLOOKUP(A256,法買賣!A:P,4,0)</f>
        <v>0</v>
      </c>
      <c r="I256" s="22">
        <f>VLOOKUP(A256,法買賣!A:P,5,0)</f>
        <v>0</v>
      </c>
    </row>
    <row r="257" spans="1:9" x14ac:dyDescent="0.15">
      <c r="A257" s="50"/>
      <c r="B257" s="21">
        <f>VLOOKUP(A257,法買賣!A:L,3,0)</f>
        <v>0</v>
      </c>
      <c r="C257" s="49" t="s">
        <v>3971</v>
      </c>
      <c r="E257" s="21"/>
      <c r="F257" s="22"/>
      <c r="H257" s="22">
        <f>VLOOKUP(A257,法買賣!A:P,4,0)</f>
        <v>0</v>
      </c>
      <c r="I257" s="22">
        <f>VLOOKUP(A257,法買賣!A:P,5,0)</f>
        <v>0</v>
      </c>
    </row>
    <row r="258" spans="1:9" x14ac:dyDescent="0.15">
      <c r="A258" s="50"/>
      <c r="B258" s="21">
        <f>VLOOKUP(A258,法買賣!A:L,3,0)</f>
        <v>0</v>
      </c>
      <c r="C258" s="49" t="s">
        <v>3972</v>
      </c>
      <c r="E258" s="21"/>
      <c r="F258" s="22"/>
      <c r="H258" s="22">
        <f>VLOOKUP(A258,法買賣!A:P,4,0)</f>
        <v>0</v>
      </c>
      <c r="I258" s="22">
        <f>VLOOKUP(A258,法買賣!A:P,5,0)</f>
        <v>0</v>
      </c>
    </row>
    <row r="259" spans="1:9" x14ac:dyDescent="0.15">
      <c r="A259" s="50"/>
      <c r="B259" s="21">
        <f>VLOOKUP(A259,法買賣!A:L,3,0)</f>
        <v>0</v>
      </c>
      <c r="C259" s="49" t="s">
        <v>3973</v>
      </c>
      <c r="E259" s="21"/>
      <c r="F259" s="22"/>
      <c r="H259" s="22">
        <f>VLOOKUP(A259,法買賣!A:P,4,0)</f>
        <v>0</v>
      </c>
      <c r="I259" s="22">
        <f>VLOOKUP(A259,法買賣!A:P,5,0)</f>
        <v>0</v>
      </c>
    </row>
    <row r="260" spans="1:9" x14ac:dyDescent="0.15">
      <c r="A260" s="50"/>
      <c r="B260" s="21">
        <f>VLOOKUP(A260,法買賣!A:L,3,0)</f>
        <v>0</v>
      </c>
      <c r="C260" s="49" t="s">
        <v>3974</v>
      </c>
      <c r="E260" s="21"/>
      <c r="F260" s="22"/>
      <c r="H260" s="22">
        <f>VLOOKUP(A260,法買賣!A:P,4,0)</f>
        <v>0</v>
      </c>
      <c r="I260" s="22">
        <f>VLOOKUP(A260,法買賣!A:P,5,0)</f>
        <v>0</v>
      </c>
    </row>
    <row r="261" spans="1:9" x14ac:dyDescent="0.15">
      <c r="A261" s="50"/>
      <c r="B261" s="21">
        <f>VLOOKUP(A261,法買賣!A:L,3,0)</f>
        <v>0</v>
      </c>
      <c r="C261" s="49" t="s">
        <v>3975</v>
      </c>
      <c r="E261" s="21"/>
      <c r="F261" s="22"/>
      <c r="H261" s="22">
        <f>VLOOKUP(A261,法買賣!A:P,4,0)</f>
        <v>0</v>
      </c>
      <c r="I261" s="22">
        <f>VLOOKUP(A261,法買賣!A:P,5,0)</f>
        <v>0</v>
      </c>
    </row>
    <row r="262" spans="1:9" x14ac:dyDescent="0.15">
      <c r="A262" s="50"/>
      <c r="B262" s="21">
        <f>VLOOKUP(A262,法買賣!A:L,3,0)</f>
        <v>0</v>
      </c>
      <c r="C262" s="49" t="s">
        <v>3976</v>
      </c>
      <c r="E262" s="21"/>
      <c r="F262" s="22"/>
      <c r="H262" s="22">
        <f>VLOOKUP(A262,法買賣!A:P,4,0)</f>
        <v>0</v>
      </c>
      <c r="I262" s="22">
        <f>VLOOKUP(A262,法買賣!A:P,5,0)</f>
        <v>0</v>
      </c>
    </row>
    <row r="263" spans="1:9" x14ac:dyDescent="0.15">
      <c r="A263" s="50"/>
      <c r="B263" s="21">
        <f>VLOOKUP(A263,法買賣!A:L,3,0)</f>
        <v>0</v>
      </c>
      <c r="C263" s="49" t="s">
        <v>3977</v>
      </c>
      <c r="E263" s="21"/>
      <c r="F263" s="22"/>
      <c r="H263" s="22">
        <f>VLOOKUP(A263,法買賣!A:P,4,0)</f>
        <v>0</v>
      </c>
      <c r="I263" s="22">
        <f>VLOOKUP(A263,法買賣!A:P,5,0)</f>
        <v>0</v>
      </c>
    </row>
    <row r="264" spans="1:9" x14ac:dyDescent="0.15">
      <c r="A264" s="50"/>
      <c r="B264" s="21">
        <f>VLOOKUP(A264,法買賣!A:L,3,0)</f>
        <v>0</v>
      </c>
      <c r="C264" s="49" t="s">
        <v>3978</v>
      </c>
      <c r="E264" s="21"/>
      <c r="F264" s="22"/>
      <c r="H264" s="22">
        <f>VLOOKUP(A264,法買賣!A:P,4,0)</f>
        <v>0</v>
      </c>
      <c r="I264" s="22">
        <f>VLOOKUP(A264,法買賣!A:P,5,0)</f>
        <v>0</v>
      </c>
    </row>
    <row r="265" spans="1:9" x14ac:dyDescent="0.15">
      <c r="A265" s="50"/>
      <c r="B265" s="21">
        <f>VLOOKUP(A265,法買賣!A:L,3,0)</f>
        <v>0</v>
      </c>
      <c r="C265" s="49" t="s">
        <v>3979</v>
      </c>
      <c r="E265" s="21"/>
      <c r="F265" s="22"/>
      <c r="H265" s="22">
        <f>VLOOKUP(A265,法買賣!A:P,4,0)</f>
        <v>0</v>
      </c>
      <c r="I265" s="22">
        <f>VLOOKUP(A265,法買賣!A:P,5,0)</f>
        <v>0</v>
      </c>
    </row>
    <row r="266" spans="1:9" x14ac:dyDescent="0.15">
      <c r="A266" s="50"/>
      <c r="B266" s="21">
        <f>VLOOKUP(A266,法買賣!A:L,3,0)</f>
        <v>0</v>
      </c>
      <c r="C266" s="49" t="s">
        <v>3980</v>
      </c>
      <c r="E266" s="21"/>
      <c r="F266" s="22"/>
      <c r="H266" s="22">
        <f>VLOOKUP(A266,法買賣!A:P,4,0)</f>
        <v>0</v>
      </c>
      <c r="I266" s="22">
        <f>VLOOKUP(A266,法買賣!A:P,5,0)</f>
        <v>0</v>
      </c>
    </row>
    <row r="267" spans="1:9" x14ac:dyDescent="0.15">
      <c r="A267" s="50"/>
      <c r="B267" s="21">
        <f>VLOOKUP(A267,法買賣!A:L,3,0)</f>
        <v>0</v>
      </c>
      <c r="C267" s="49" t="s">
        <v>3981</v>
      </c>
      <c r="E267" s="21"/>
      <c r="F267" s="22"/>
      <c r="H267" s="22">
        <f>VLOOKUP(A267,法買賣!A:P,4,0)</f>
        <v>0</v>
      </c>
      <c r="I267" s="22">
        <f>VLOOKUP(A267,法買賣!A:P,5,0)</f>
        <v>0</v>
      </c>
    </row>
    <row r="268" spans="1:9" x14ac:dyDescent="0.15">
      <c r="A268" s="50"/>
      <c r="B268" s="21">
        <f>VLOOKUP(A268,法買賣!A:L,3,0)</f>
        <v>0</v>
      </c>
      <c r="C268" s="49" t="s">
        <v>3982</v>
      </c>
      <c r="E268" s="21"/>
      <c r="F268" s="22"/>
      <c r="H268" s="22">
        <f>VLOOKUP(A268,法買賣!A:P,4,0)</f>
        <v>0</v>
      </c>
      <c r="I268" s="22">
        <f>VLOOKUP(A268,法買賣!A:P,5,0)</f>
        <v>0</v>
      </c>
    </row>
    <row r="269" spans="1:9" x14ac:dyDescent="0.15">
      <c r="A269" s="50"/>
      <c r="B269" s="21">
        <f>VLOOKUP(A269,法買賣!A:L,3,0)</f>
        <v>0</v>
      </c>
      <c r="C269" s="49" t="s">
        <v>3983</v>
      </c>
      <c r="E269" s="21"/>
      <c r="F269" s="22"/>
      <c r="H269" s="22">
        <f>VLOOKUP(A269,法買賣!A:P,4,0)</f>
        <v>0</v>
      </c>
      <c r="I269" s="22">
        <f>VLOOKUP(A269,法買賣!A:P,5,0)</f>
        <v>0</v>
      </c>
    </row>
    <row r="270" spans="1:9" x14ac:dyDescent="0.15">
      <c r="A270" s="50"/>
      <c r="B270" s="21">
        <f>VLOOKUP(A270,法買賣!A:L,3,0)</f>
        <v>0</v>
      </c>
      <c r="C270" s="49" t="s">
        <v>3984</v>
      </c>
      <c r="E270" s="21"/>
      <c r="F270" s="22"/>
      <c r="H270" s="22">
        <f>VLOOKUP(A270,法買賣!A:P,4,0)</f>
        <v>0</v>
      </c>
      <c r="I270" s="22">
        <f>VLOOKUP(A270,法買賣!A:P,5,0)</f>
        <v>0</v>
      </c>
    </row>
    <row r="271" spans="1:9" x14ac:dyDescent="0.15">
      <c r="A271" s="50"/>
      <c r="B271" s="21">
        <f>VLOOKUP(A271,法買賣!A:L,3,0)</f>
        <v>0</v>
      </c>
      <c r="C271" s="49" t="s">
        <v>3985</v>
      </c>
      <c r="E271" s="21"/>
      <c r="F271" s="22"/>
      <c r="H271" s="22">
        <f>VLOOKUP(A271,法買賣!A:P,4,0)</f>
        <v>0</v>
      </c>
      <c r="I271" s="22">
        <f>VLOOKUP(A271,法買賣!A:P,5,0)</f>
        <v>0</v>
      </c>
    </row>
    <row r="272" spans="1:9" x14ac:dyDescent="0.15">
      <c r="A272" s="50"/>
      <c r="B272" s="21">
        <f>VLOOKUP(A272,法買賣!A:L,3,0)</f>
        <v>0</v>
      </c>
      <c r="C272" s="49" t="s">
        <v>3986</v>
      </c>
      <c r="E272" s="21"/>
      <c r="F272" s="22"/>
      <c r="H272" s="22">
        <f>VLOOKUP(A272,法買賣!A:P,4,0)</f>
        <v>0</v>
      </c>
      <c r="I272" s="22">
        <f>VLOOKUP(A272,法買賣!A:P,5,0)</f>
        <v>0</v>
      </c>
    </row>
    <row r="273" spans="1:9" x14ac:dyDescent="0.15">
      <c r="A273" s="50"/>
      <c r="B273" s="21">
        <f>VLOOKUP(A273,法買賣!A:L,3,0)</f>
        <v>0</v>
      </c>
      <c r="C273" s="49" t="s">
        <v>3987</v>
      </c>
      <c r="E273" s="21"/>
      <c r="F273" s="22"/>
      <c r="H273" s="22">
        <f>VLOOKUP(A273,法買賣!A:P,4,0)</f>
        <v>0</v>
      </c>
      <c r="I273" s="22">
        <f>VLOOKUP(A273,法買賣!A:P,5,0)</f>
        <v>0</v>
      </c>
    </row>
    <row r="274" spans="1:9" x14ac:dyDescent="0.15">
      <c r="A274" s="50"/>
      <c r="B274" s="21">
        <f>VLOOKUP(A274,法買賣!A:L,3,0)</f>
        <v>0</v>
      </c>
      <c r="C274" s="49" t="s">
        <v>3988</v>
      </c>
      <c r="E274" s="21"/>
      <c r="F274" s="22"/>
      <c r="H274" s="22">
        <f>VLOOKUP(A274,法買賣!A:P,4,0)</f>
        <v>0</v>
      </c>
      <c r="I274" s="22">
        <f>VLOOKUP(A274,法買賣!A:P,5,0)</f>
        <v>0</v>
      </c>
    </row>
    <row r="275" spans="1:9" x14ac:dyDescent="0.15">
      <c r="A275" s="50"/>
      <c r="B275" s="21">
        <f>VLOOKUP(A275,法買賣!A:L,3,0)</f>
        <v>0</v>
      </c>
      <c r="C275" s="49" t="s">
        <v>3989</v>
      </c>
      <c r="E275" s="21"/>
      <c r="F275" s="22"/>
      <c r="H275" s="22">
        <f>VLOOKUP(A275,法買賣!A:P,4,0)</f>
        <v>0</v>
      </c>
      <c r="I275" s="22">
        <f>VLOOKUP(A275,法買賣!A:P,5,0)</f>
        <v>0</v>
      </c>
    </row>
    <row r="276" spans="1:9" x14ac:dyDescent="0.15">
      <c r="A276" s="50"/>
      <c r="B276" s="21">
        <f>VLOOKUP(A276,法買賣!A:L,3,0)</f>
        <v>0</v>
      </c>
      <c r="C276" s="49" t="s">
        <v>3990</v>
      </c>
      <c r="E276" s="21"/>
      <c r="F276" s="22"/>
      <c r="H276" s="22">
        <f>VLOOKUP(A276,法買賣!A:P,4,0)</f>
        <v>0</v>
      </c>
      <c r="I276" s="22">
        <f>VLOOKUP(A276,法買賣!A:P,5,0)</f>
        <v>0</v>
      </c>
    </row>
    <row r="277" spans="1:9" x14ac:dyDescent="0.15">
      <c r="A277" s="50"/>
    </row>
    <row r="278" spans="1:9" x14ac:dyDescent="0.15">
      <c r="A278" s="50"/>
    </row>
    <row r="279" spans="1:9" x14ac:dyDescent="0.15">
      <c r="A279" s="50"/>
    </row>
    <row r="280" spans="1:9" x14ac:dyDescent="0.15">
      <c r="A280" s="50"/>
    </row>
    <row r="281" spans="1:9" x14ac:dyDescent="0.15">
      <c r="A281" s="50"/>
    </row>
    <row r="282" spans="1:9" x14ac:dyDescent="0.15">
      <c r="A282" s="50"/>
    </row>
    <row r="283" spans="1:9" x14ac:dyDescent="0.15">
      <c r="A283" s="50"/>
    </row>
    <row r="284" spans="1:9" x14ac:dyDescent="0.15">
      <c r="A284" s="50"/>
    </row>
  </sheetData>
  <mergeCells count="3">
    <mergeCell ref="A1:G1"/>
    <mergeCell ref="B2:C2"/>
    <mergeCell ref="A3:G3"/>
  </mergeCells>
  <phoneticPr fontId="1" type="noConversion"/>
  <hyperlinks>
    <hyperlink ref="A72" r:id="rId1" display="http://www.chinatimes.com/newspapers/20160308000954-260303"/>
    <hyperlink ref="A73" r:id="rId2" display="http://www.chinatimes.com/newspapers/20160308000951-260303"/>
    <hyperlink ref="A74" r:id="rId3" display="http://www.chinatimes.com/newspapers/20160308000950-260303"/>
    <hyperlink ref="A75" r:id="rId4" display="http://www.chinatimes.com/newspapers/20160308000948-260303"/>
    <hyperlink ref="A76" r:id="rId5" display="http://www.chinatimes.com/newspapers/20160308000945-260303"/>
    <hyperlink ref="A77" r:id="rId6" display="http://www.chinatimes.com/newspapers/20160308000943-260303"/>
    <hyperlink ref="A78" r:id="rId7" display="http://www.chinatimes.com/newspapers/20160308000942-260303"/>
    <hyperlink ref="A79" r:id="rId8" display="http://www.chinatimes.com/newspapers/20160308000939-260303"/>
    <hyperlink ref="A80" r:id="rId9" display="http://www.chinatimes.com/newspapers/20160308000936-260303"/>
    <hyperlink ref="A81" r:id="rId10" display="http://www.chinatimes.com/newspapers/20160308000933-260303"/>
    <hyperlink ref="A82" r:id="rId11" display="http://www.chinatimes.com/newspapers/20160308000931-260303"/>
    <hyperlink ref="A83" r:id="rId12" display="http://www.chinatimes.com/newspapers/20160308000927-260303"/>
    <hyperlink ref="A84" r:id="rId13" display="http://www.chinatimes.com/newspapers/20160308000926-260303"/>
    <hyperlink ref="A85" r:id="rId14" display="http://www.chinatimes.com/newspapers/20160308000925-260303"/>
    <hyperlink ref="A86" r:id="rId15" display="http://www.chinatimes.com/newspapers/20160308000922-260303"/>
    <hyperlink ref="A87" r:id="rId16" display="http://www.chinatimes.com/newspapers/20160308000920-260303"/>
    <hyperlink ref="A88" r:id="rId17" display="http://www.chinatimes.com/newspapers/20160308000918-260303"/>
    <hyperlink ref="A89" r:id="rId18" display="http://www.chinatimes.com/newspapers/20160308000916-260303"/>
    <hyperlink ref="A90" r:id="rId19" display="http://www.chinatimes.com/newspapers/20160308000914-260303"/>
    <hyperlink ref="A91" r:id="rId20" display="http://www.chinatimes.com/newspapers/20160308000912-260303"/>
    <hyperlink ref="A92" r:id="rId21" display="http://www.chinatimes.com/newspapers/20160308000086-260202"/>
    <hyperlink ref="A93" r:id="rId22" display="http://www.chinatimes.com/newspapers/20160308000085-260202"/>
    <hyperlink ref="A94" r:id="rId23" display="http://www.chinatimes.com/newspapers/20160308000084-260202"/>
    <hyperlink ref="A95" r:id="rId24" display="http://www.chinatimes.com/newspapers/20160308000083-260202"/>
    <hyperlink ref="A96" r:id="rId25" display="http://www.chinatimes.com/newspapers/20160308000081-260202"/>
    <hyperlink ref="A97" r:id="rId26" display="http://www.chinatimes.com/newspapers/20160308000079-260202"/>
    <hyperlink ref="A98" r:id="rId27" display="http://www.chinatimes.com/newspapers/20160308000078-260202"/>
    <hyperlink ref="A99" r:id="rId28" display="http://www.chinatimes.com/newspapers/20160308000075-260202"/>
    <hyperlink ref="A100" r:id="rId29" display="http://www.chinatimes.com/realtimenews/20160308001933-260410"/>
    <hyperlink ref="C113" r:id="rId30" display="http://www.chinatimes.com/realtimenews/20160308001807-260410"/>
    <hyperlink ref="C114" r:id="rId31" display="http://www.chinatimes.com/newspapers/20160308000264-260206"/>
    <hyperlink ref="C115" r:id="rId32" display="http://www.chinatimes.com/newspapers/20160308000262-260206"/>
    <hyperlink ref="C116" r:id="rId33" display="http://www.chinatimes.com/newspapers/20160308000260-260206"/>
    <hyperlink ref="C117" r:id="rId34" display="http://www.chinatimes.com/newspapers/20160308000258-260206"/>
    <hyperlink ref="C118" r:id="rId35" display="http://www.chinatimes.com/newspapers/20160308000255-260206"/>
    <hyperlink ref="C119" r:id="rId36" display="http://www.chinatimes.com/newspapers/20160308000253-260206"/>
    <hyperlink ref="C120" r:id="rId37" display="http://www.chinatimes.com/newspapers/20160308000252-260206"/>
    <hyperlink ref="C121" r:id="rId38" display="http://www.chinatimes.com/newspapers/20160308000251-260206"/>
    <hyperlink ref="C122" r:id="rId39" display="http://www.chinatimes.com/newspapers/20160308000249-260206"/>
    <hyperlink ref="C123" r:id="rId40" display="http://www.chinatimes.com/newspapers/20160308000248-260206"/>
    <hyperlink ref="C124" r:id="rId41" display="http://www.chinatimes.com/newspapers/20160308000247-260206"/>
    <hyperlink ref="C125" r:id="rId42" display="http://www.chinatimes.com/newspapers/20160308000245-260206"/>
    <hyperlink ref="C126" r:id="rId43" display="http://www.chinatimes.com/newspapers/20160308000231-260206"/>
    <hyperlink ref="C127" r:id="rId44" display="http://www.chinatimes.com/newspapers/20160308000229-260206"/>
    <hyperlink ref="C128" r:id="rId45" display="http://www.chinatimes.com/newspapers/20160308000228-260206"/>
    <hyperlink ref="C129" r:id="rId46" display="http://www.chinatimes.com/newspapers/20160308000227-260206"/>
    <hyperlink ref="C130" r:id="rId47" display="http://www.chinatimes.com/newspapers/20160308000226-260206"/>
    <hyperlink ref="C131" r:id="rId48" display="http://www.chinatimes.com/newspapers/20160308000225-260206"/>
    <hyperlink ref="C132" r:id="rId49" display="http://www.chinatimes.com/newspapers/20160308000224-260206"/>
    <hyperlink ref="C133" r:id="rId50" display="http://www.chinatimes.com/newspapers/20160308000223-260206"/>
    <hyperlink ref="C134" r:id="rId51" display="http://www.chinatimes.com/newspapers/20160308000221-260206"/>
    <hyperlink ref="C135" r:id="rId52" display="http://www.chinatimes.com/newspapers/20160308000220-260206"/>
    <hyperlink ref="C136" r:id="rId53" display="http://www.chinatimes.com/newspapers/20160308000218-260206"/>
    <hyperlink ref="C137" r:id="rId54" display="http://www.chinatimes.com/newspapers/20160308000216-260206"/>
    <hyperlink ref="C138" r:id="rId55" display="http://www.chinatimes.com/newspapers/20160308000214-260206"/>
    <hyperlink ref="C139" r:id="rId56" display="http://www.chinatimes.com/newspapers/20160308000213-260206"/>
    <hyperlink ref="C140" r:id="rId57" display="http://www.chinatimes.com/newspapers/20160308000212-260206"/>
    <hyperlink ref="C141" r:id="rId58" display="http://www.chinatimes.com/newspapers/20160308000211-260206"/>
    <hyperlink ref="C142" r:id="rId59" display="http://www.chinatimes.com/newspapers/20160308000210-260206"/>
    <hyperlink ref="C143" r:id="rId60" display="http://www.chinatimes.com/realtimenews/20160308001933-260410"/>
    <hyperlink ref="A150" r:id="rId61" display="http://udn.com/news/story/7241/1547887"/>
    <hyperlink ref="A151" r:id="rId62" display="http://udn.com/news/story/7241/1547916"/>
    <hyperlink ref="A152" r:id="rId63" display="http://udn.com/news/story/7241/1547949"/>
    <hyperlink ref="A153" r:id="rId64" display="http://udn.com/news/story/7241/1547865"/>
    <hyperlink ref="A154" r:id="rId65" display="http://udn.com/news/story/7241/1547868"/>
    <hyperlink ref="A155" r:id="rId66" display="http://udn.com/news/story/7241/1547811"/>
    <hyperlink ref="A156" r:id="rId67" display="http://udn.com/news/story/7244/1547755"/>
    <hyperlink ref="A157" r:id="rId68" display="http://udn.com/news/story/7244/1547751"/>
    <hyperlink ref="A158" r:id="rId69" display="http://udn.com/news/story/7244/1547753"/>
    <hyperlink ref="A159" r:id="rId70" display="http://udn.com/news/story/7244/1547752"/>
    <hyperlink ref="A160" r:id="rId71" display="http://udn.com/news/story/7243/1548086"/>
    <hyperlink ref="A161" r:id="rId72" display="http://udn.com/news/story/7243/1548084"/>
    <hyperlink ref="A162" r:id="rId73" display="http://udn.com/news/story/7243/1548082"/>
    <hyperlink ref="A163" r:id="rId74" display="http://udn.com/news/story/7243/1548080"/>
    <hyperlink ref="A164" r:id="rId75" display="http://udn.com/news/story/7243/1548078"/>
    <hyperlink ref="A165" r:id="rId76" display="http://udn.com/news/story/7240/1548073"/>
    <hyperlink ref="A166" r:id="rId77" display="http://udn.com/news/story/7240/1548074"/>
    <hyperlink ref="A167" r:id="rId78" display="http://udn.com/news/story/7240/1548072"/>
    <hyperlink ref="A168" r:id="rId79" display="http://udn.com/news/story/7240/1548030"/>
    <hyperlink ref="A169" r:id="rId80" display="http://udn.com/news/story/7240/1548027"/>
    <hyperlink ref="A170" r:id="rId81" display="http://udn.com/news/story/7241/1548031"/>
    <hyperlink ref="A171" r:id="rId82" display="http://udn.com/news/story/7241/1548025"/>
    <hyperlink ref="A172" r:id="rId83" display="http://udn.com/news/story/7239/1548108"/>
    <hyperlink ref="A173" r:id="rId84" display="http://udn.com/news/story/7239/1548118"/>
    <hyperlink ref="A174" r:id="rId85" display="http://udn.com/news/story/7239/1548119"/>
    <hyperlink ref="A175" r:id="rId86" display="http://udn.com/news/story/7239/1548109"/>
    <hyperlink ref="A176" r:id="rId87" display="http://udn.com/news/story/7239/1548116"/>
    <hyperlink ref="A177" r:id="rId88" display="http://udn.com/news/story/7239/1548120"/>
    <hyperlink ref="A178" r:id="rId89" display="http://udn.com/news/story/7239/1548126"/>
    <hyperlink ref="A179" r:id="rId90" display="http://udn.com/news/story/7239/1548133"/>
    <hyperlink ref="A180" r:id="rId91" display="http://udn.com/news/story/7238/1548141"/>
    <hyperlink ref="A181" r:id="rId92" display="http://udn.com/news/story/7238/1547564"/>
    <hyperlink ref="A182" r:id="rId93" display="http://udn.com/news/story/7238/1548103"/>
    <hyperlink ref="A183" r:id="rId94" display="http://udn.com/news/story/7238/1548098"/>
    <hyperlink ref="A184" r:id="rId95" display="http://udn.com/news/story/7238/1548096"/>
    <hyperlink ref="A185" r:id="rId96" display="http://udn.com/news/story/7238/1548169"/>
    <hyperlink ref="A186" r:id="rId97" display="http://udn.com/news/story/9523/1548139"/>
    <hyperlink ref="A187" r:id="rId98" display="http://udn.com/news/story/7240/1548010"/>
    <hyperlink ref="A188" r:id="rId99" display="http://udn.com/news/story/7240/1548007"/>
    <hyperlink ref="A189" r:id="rId100" display="http://udn.com/news/story/7240/1548008"/>
    <hyperlink ref="A190" r:id="rId101" display="http://udn.com/news/story/7240/1547473"/>
    <hyperlink ref="A191" r:id="rId102" display="http://udn.com/news/story/7241/1548016"/>
    <hyperlink ref="A192" r:id="rId103" display="http://udn.com/news/story/7241/1548148"/>
    <hyperlink ref="A193" r:id="rId104" display="http://udn.com/news/story/7241/1548149"/>
    <hyperlink ref="A194" r:id="rId105" display="http://udn.com/news/story/7239/1548150"/>
    <hyperlink ref="A195" r:id="rId106" display="http://udn.com/news/story/7239/1548151"/>
    <hyperlink ref="A196" r:id="rId107" display="http://udn.com/news/story/7239/1548152"/>
    <hyperlink ref="A197" r:id="rId108" display="http://udn.com/news/story/7239/1548153"/>
    <hyperlink ref="A198" r:id="rId109" display="http://udn.com/news/story/7239/1547474"/>
    <hyperlink ref="A199" r:id="rId110" display="http://udn.com/news/story/7238/1548102"/>
    <hyperlink ref="A200" r:id="rId111" display="http://udn.com/news/story/7238/1548101"/>
    <hyperlink ref="A201" r:id="rId112" display="http://udn.com/news/story/7238/1548094"/>
    <hyperlink ref="A202" r:id="rId113" display="http://udn.com/news/story/9523/1548107"/>
    <hyperlink ref="A203" r:id="rId114" display="http://udn.com/news/story/9523/1548106"/>
    <hyperlink ref="A204" r:id="rId115" display="http://udn.com/news/story/9523/1548100"/>
    <hyperlink ref="A205" r:id="rId116" display="http://udn.com/news/story/9523/1548095"/>
    <hyperlink ref="A206" r:id="rId117" display="http://udn.com/news/story/7240/1546627"/>
    <hyperlink ref="A207" r:id="rId118" display="http://udn.com/news/story/7240/1546633"/>
    <hyperlink ref="A208" r:id="rId119" display="http://udn.com/news/story/7238/1546626"/>
    <hyperlink ref="A209" r:id="rId120" display="http://udn.com/news/story/7241/1546664"/>
    <hyperlink ref="C217" r:id="rId121" display="http://udn.com/news/story/7251/1547449"/>
    <hyperlink ref="C218" r:id="rId122" display="http://udn.com/news/story/7251/1547472"/>
    <hyperlink ref="C219" r:id="rId123" display="http://udn.com/news/story/7254/1546687"/>
    <hyperlink ref="C220" r:id="rId124" display="http://udn.com/news/story/7253/1547432"/>
    <hyperlink ref="C221" r:id="rId125" display="http://udn.com/news/story/7254/1547505"/>
    <hyperlink ref="C222" r:id="rId126" display="http://udn.com/news/story/7252/1547545"/>
    <hyperlink ref="C223" r:id="rId127" display="http://udn.com/news/story/7251/1548009"/>
    <hyperlink ref="C224" r:id="rId128" display="http://udn.com/news/story/7251/1548124"/>
    <hyperlink ref="C225" r:id="rId129" display="http://udn.com/news/story/7251/1546693"/>
    <hyperlink ref="C226" r:id="rId130" display="http://udn.com/news/story/7253/1547435"/>
    <hyperlink ref="C227" r:id="rId131" display="http://udn.com/news/story/7253/1546649"/>
    <hyperlink ref="C228" r:id="rId132" display="http://udn.com/news/story/7253/1548033"/>
    <hyperlink ref="C229" r:id="rId133" display="http://udn.com/news/story/7253/1547509"/>
    <hyperlink ref="C230" r:id="rId134" display="http://udn.com/news/story/7253/1546652"/>
    <hyperlink ref="C231" r:id="rId135" display="http://udn.com/news/story/7251/1547446"/>
    <hyperlink ref="C232" r:id="rId136" display="http://udn.com/news/story/7251/1547450"/>
    <hyperlink ref="C233" r:id="rId137" display="http://udn.com/news/story/7254/1547580"/>
    <hyperlink ref="C234" r:id="rId138" display="http://udn.com/news/story/7251/1547448"/>
    <hyperlink ref="C235" r:id="rId139" display="http://udn.com/news/story/7254/1546692"/>
    <hyperlink ref="C236" r:id="rId140" display="http://udn.com/news/story/7253/1547512"/>
    <hyperlink ref="C237" r:id="rId141" display="http://udn.com/news/story/7254/1547494"/>
    <hyperlink ref="C238" r:id="rId142" display="http://udn.com/news/story/7253/1546681"/>
    <hyperlink ref="C239" r:id="rId143" display="http://udn.com/news/story/7253/1547506"/>
    <hyperlink ref="C240" r:id="rId144" display="http://udn.com/news/story/7251/1546617"/>
    <hyperlink ref="C241" r:id="rId145" display="http://udn.com/news/story/7252/1547547"/>
    <hyperlink ref="C242" r:id="rId146" display="http://udn.com/news/story/7252/1546658"/>
    <hyperlink ref="C243" r:id="rId147" display="http://udn.com/news/story/7253/1546667"/>
    <hyperlink ref="C244" r:id="rId148" display="http://udn.com/news/story/7255/1547488"/>
    <hyperlink ref="C245" r:id="rId149" display="http://udn.com/news/story/7254/1546688"/>
    <hyperlink ref="C246" r:id="rId150" display="http://udn.com/news/story/7255/1547489"/>
    <hyperlink ref="C247" r:id="rId151" display="http://udn.com/news/story/7253/1547584"/>
    <hyperlink ref="C248" r:id="rId152" display="http://udn.com/news/story/7251/1547447"/>
    <hyperlink ref="C249" r:id="rId153" display="http://udn.com/news/story/7254/1547569"/>
    <hyperlink ref="C250" r:id="rId154" display="http://udn.com/news/story/7253/1546654"/>
    <hyperlink ref="C251" r:id="rId155" display="http://udn.com/news/story/7253/1547510"/>
    <hyperlink ref="C252" r:id="rId156" display="http://udn.com/news/story/7251/1547500"/>
    <hyperlink ref="C253" r:id="rId157" display="http://udn.com/news/story/7252/1547546"/>
    <hyperlink ref="C254" r:id="rId158" display="http://udn.com/news/story/7253/1546680"/>
    <hyperlink ref="C255" r:id="rId159" display="http://udn.com/news/story/7253/1546685"/>
    <hyperlink ref="C256" r:id="rId160" display="http://udn.com/news/story/7252/1547596"/>
    <hyperlink ref="C257" r:id="rId161" display="http://udn.com/news/story/7253/1546684"/>
    <hyperlink ref="C258" r:id="rId162" display="http://udn.com/news/story/7252/1547556"/>
    <hyperlink ref="C259" r:id="rId163" display="http://udn.com/news/story/7253/1547496"/>
    <hyperlink ref="C260" r:id="rId164" display="http://udn.com/news/story/7251/1547444"/>
    <hyperlink ref="C261" r:id="rId165" display="http://udn.com/news/story/7254/1546689"/>
    <hyperlink ref="C262" r:id="rId166" display="http://udn.com/news/story/7253/1546682"/>
    <hyperlink ref="C263" r:id="rId167" display="http://udn.com/news/story/7255/1546695"/>
    <hyperlink ref="C264" r:id="rId168" display="http://udn.com/news/story/7254/1547550"/>
    <hyperlink ref="C265" r:id="rId169" display="http://udn.com/news/story/7253/1547579"/>
    <hyperlink ref="C266" r:id="rId170" display="http://udn.com/news/story/7252/1547552"/>
    <hyperlink ref="C267" r:id="rId171" display="http://udn.com/news/story/7251/1546613"/>
    <hyperlink ref="C268" r:id="rId172" display="http://udn.com/news/story/7252/1547591"/>
    <hyperlink ref="C269" r:id="rId173" display="http://udn.com/news/story/7255/1546694"/>
    <hyperlink ref="C270" r:id="rId174" display="http://udn.com/news/story/7252/1547497"/>
    <hyperlink ref="C271" r:id="rId175" display="http://udn.com/news/story/7255/1546691"/>
    <hyperlink ref="C272" r:id="rId176" display="http://udn.com/news/story/7255/1547487"/>
    <hyperlink ref="C273" r:id="rId177" display="http://udn.com/news/story/7255/1547490"/>
    <hyperlink ref="C274" r:id="rId178" display="http://udn.com/news/story/7253/1547508"/>
    <hyperlink ref="C275" r:id="rId179" display="http://udn.com/news/story/7253/1547495"/>
    <hyperlink ref="C276" r:id="rId180" display="http://udn.com/news/story/7253/1547571"/>
  </hyperlinks>
  <pageMargins left="0.7" right="0.7" top="0.75" bottom="0.75" header="0.3" footer="0.3"/>
  <pageSetup paperSize="9" orientation="portrait" r:id="rId18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 enableFormatConditionsCalculation="0"/>
  <dimension ref="A2:AL209"/>
  <sheetViews>
    <sheetView topLeftCell="A91" workbookViewId="0">
      <selection activeCell="C23" sqref="C23:C107"/>
    </sheetView>
  </sheetViews>
  <sheetFormatPr baseColWidth="10" defaultColWidth="8.83203125" defaultRowHeight="15" x14ac:dyDescent="0.15"/>
  <cols>
    <col min="2" max="3" width="80.83203125" customWidth="1"/>
    <col min="4" max="4" width="17.6640625" customWidth="1"/>
    <col min="5" max="5" width="13.5" customWidth="1"/>
    <col min="6" max="6" width="29.6640625" customWidth="1"/>
    <col min="7" max="7" width="59.83203125" customWidth="1"/>
    <col min="8" max="8" width="20.83203125" customWidth="1"/>
    <col min="9" max="10" width="15.33203125" customWidth="1"/>
    <col min="11" max="11" width="29.33203125" customWidth="1"/>
    <col min="12" max="36" width="31.1640625" customWidth="1"/>
    <col min="37" max="37" width="37.33203125" customWidth="1"/>
    <col min="38" max="38" width="80.83203125" customWidth="1"/>
    <col min="39" max="41" width="31.1640625" customWidth="1"/>
    <col min="42" max="42" width="80.83203125" customWidth="1"/>
    <col min="43" max="43" width="17.6640625" customWidth="1"/>
    <col min="44" max="44" width="13.5" customWidth="1"/>
    <col min="45" max="45" width="23.83203125" customWidth="1"/>
    <col min="46" max="46" width="55.33203125" customWidth="1"/>
    <col min="47" max="47" width="20.83203125" customWidth="1"/>
    <col min="48" max="49" width="15.33203125" customWidth="1"/>
    <col min="50" max="50" width="29.33203125" customWidth="1"/>
    <col min="76" max="76" width="29.5" customWidth="1"/>
    <col min="77" max="77" width="80.83203125" customWidth="1"/>
  </cols>
  <sheetData>
    <row r="2" spans="1:38" x14ac:dyDescent="0.15">
      <c r="A2" t="str">
        <f>LEFT(B2,2)</f>
        <v xml:space="preserve">■ </v>
      </c>
      <c r="B2" t="s">
        <v>3584</v>
      </c>
      <c r="C2" t="s">
        <v>3585</v>
      </c>
    </row>
    <row r="3" spans="1:38" hidden="1" x14ac:dyDescent="0.15">
      <c r="A3" t="e">
        <f>LEFT(#REF!,2)</f>
        <v>#REF!</v>
      </c>
      <c r="D3" t="s">
        <v>3446</v>
      </c>
      <c r="E3" t="s">
        <v>3447</v>
      </c>
      <c r="F3" t="s">
        <v>3448</v>
      </c>
      <c r="G3" t="s">
        <v>3449</v>
      </c>
      <c r="H3" t="s">
        <v>3450</v>
      </c>
      <c r="I3" t="s">
        <v>3451</v>
      </c>
      <c r="J3" t="s">
        <v>3452</v>
      </c>
    </row>
    <row r="4" spans="1:38" hidden="1" x14ac:dyDescent="0.15">
      <c r="A4" t="e">
        <f>LEFT(#REF!,2)</f>
        <v>#REF!</v>
      </c>
      <c r="D4" t="s">
        <v>0</v>
      </c>
      <c r="E4" t="s">
        <v>3453</v>
      </c>
      <c r="F4" t="s">
        <v>3454</v>
      </c>
      <c r="G4" t="s">
        <v>3455</v>
      </c>
      <c r="K4" t="s">
        <v>3463</v>
      </c>
    </row>
    <row r="5" spans="1:38" hidden="1" x14ac:dyDescent="0.15">
      <c r="A5" t="e">
        <f>LEFT(#REF!,2)</f>
        <v>#REF!</v>
      </c>
      <c r="D5" t="s">
        <v>3456</v>
      </c>
      <c r="E5" t="s">
        <v>3457</v>
      </c>
      <c r="F5" t="s">
        <v>3458</v>
      </c>
      <c r="G5" t="s">
        <v>3459</v>
      </c>
      <c r="H5" t="s">
        <v>3460</v>
      </c>
      <c r="I5" t="s">
        <v>3461</v>
      </c>
      <c r="J5" t="s">
        <v>3462</v>
      </c>
    </row>
    <row r="6" spans="1:38" hidden="1" x14ac:dyDescent="0.15">
      <c r="A6" t="e">
        <f>LEFT(#REF!,2)</f>
        <v>#REF!</v>
      </c>
      <c r="B6" t="s">
        <v>3586</v>
      </c>
      <c r="C6" t="s">
        <v>3587</v>
      </c>
    </row>
    <row r="7" spans="1:38" hidden="1" x14ac:dyDescent="0.15">
      <c r="A7" t="e">
        <f>LEFT(#REF!,2)</f>
        <v>#REF!</v>
      </c>
    </row>
    <row r="8" spans="1:38" hidden="1" x14ac:dyDescent="0.15">
      <c r="A8" t="e">
        <f>LEFT(#REF!,2)</f>
        <v>#REF!</v>
      </c>
      <c r="B8" t="s">
        <v>3464</v>
      </c>
    </row>
    <row r="9" spans="1:38" hidden="1" x14ac:dyDescent="0.15">
      <c r="A9" t="e">
        <f>LEFT(#REF!,2)</f>
        <v>#REF!</v>
      </c>
      <c r="F9" t="s">
        <v>3588</v>
      </c>
      <c r="AK9" t="s">
        <v>3681</v>
      </c>
    </row>
    <row r="10" spans="1:38" hidden="1" x14ac:dyDescent="0.15">
      <c r="A10" t="e">
        <f>LEFT(#REF!,2)</f>
        <v>#REF!</v>
      </c>
    </row>
    <row r="11" spans="1:38" hidden="1" x14ac:dyDescent="0.15">
      <c r="A11" t="e">
        <f>LEFT(#REF!,2)</f>
        <v>#REF!</v>
      </c>
      <c r="AK11" t="s">
        <v>3497</v>
      </c>
    </row>
    <row r="12" spans="1:38" hidden="1" x14ac:dyDescent="0.15">
      <c r="A12" t="e">
        <f>LEFT(#REF!,2)</f>
        <v>#REF!</v>
      </c>
      <c r="B12" t="s">
        <v>3465</v>
      </c>
      <c r="D12" t="s">
        <v>3466</v>
      </c>
      <c r="AK12" t="s">
        <v>3682</v>
      </c>
    </row>
    <row r="13" spans="1:38" hidden="1" x14ac:dyDescent="0.15">
      <c r="A13" t="e">
        <f>LEFT(#REF!,2)</f>
        <v>#REF!</v>
      </c>
      <c r="B13" t="s">
        <v>3589</v>
      </c>
      <c r="F13" t="s">
        <v>3492</v>
      </c>
      <c r="G13" t="s">
        <v>3493</v>
      </c>
    </row>
    <row r="14" spans="1:38" hidden="1" x14ac:dyDescent="0.15">
      <c r="A14" t="e">
        <f>LEFT(#REF!,2)</f>
        <v>#REF!</v>
      </c>
      <c r="B14" t="s">
        <v>3590</v>
      </c>
      <c r="AK14" t="s">
        <v>3498</v>
      </c>
    </row>
    <row r="15" spans="1:38" hidden="1" x14ac:dyDescent="0.15">
      <c r="A15" t="e">
        <f>LEFT(#REF!,2)</f>
        <v>#REF!</v>
      </c>
    </row>
    <row r="16" spans="1:38" hidden="1" x14ac:dyDescent="0.15">
      <c r="A16" t="e">
        <f>LEFT(#REF!,2)</f>
        <v>#REF!</v>
      </c>
      <c r="B16" t="s">
        <v>3591</v>
      </c>
      <c r="G16" t="s">
        <v>3657</v>
      </c>
      <c r="AK16" t="s">
        <v>3499</v>
      </c>
      <c r="AL16" t="s">
        <v>3500</v>
      </c>
    </row>
    <row r="17" spans="1:38" hidden="1" x14ac:dyDescent="0.15">
      <c r="A17" t="e">
        <f>LEFT(#REF!,2)</f>
        <v>#REF!</v>
      </c>
      <c r="B17" t="s">
        <v>3592</v>
      </c>
      <c r="G17" t="s">
        <v>3658</v>
      </c>
    </row>
    <row r="18" spans="1:38" hidden="1" x14ac:dyDescent="0.15">
      <c r="A18" t="e">
        <f>LEFT(#REF!,2)</f>
        <v>#REF!</v>
      </c>
      <c r="G18" t="s">
        <v>3659</v>
      </c>
    </row>
    <row r="19" spans="1:38" hidden="1" x14ac:dyDescent="0.15">
      <c r="A19" t="e">
        <f>LEFT(#REF!,2)</f>
        <v>#REF!</v>
      </c>
      <c r="B19" t="s">
        <v>3593</v>
      </c>
      <c r="G19" t="s">
        <v>3660</v>
      </c>
      <c r="AK19" t="s">
        <v>3501</v>
      </c>
    </row>
    <row r="20" spans="1:38" hidden="1" x14ac:dyDescent="0.15">
      <c r="A20" t="e">
        <f>LEFT(#REF!,2)</f>
        <v>#REF!</v>
      </c>
      <c r="B20" t="s">
        <v>3594</v>
      </c>
      <c r="G20" t="s">
        <v>3661</v>
      </c>
      <c r="AK20" t="s">
        <v>3502</v>
      </c>
      <c r="AL20" t="s">
        <v>3503</v>
      </c>
    </row>
    <row r="21" spans="1:38" hidden="1" x14ac:dyDescent="0.15">
      <c r="A21" t="e">
        <f>LEFT(#REF!,2)</f>
        <v>#REF!</v>
      </c>
      <c r="G21" t="s">
        <v>3494</v>
      </c>
      <c r="AL21" t="s">
        <v>3683</v>
      </c>
    </row>
    <row r="22" spans="1:38" hidden="1" x14ac:dyDescent="0.15">
      <c r="A22" t="e">
        <f>LEFT(#REF!,2)</f>
        <v>#REF!</v>
      </c>
      <c r="B22" t="s">
        <v>3595</v>
      </c>
      <c r="D22" t="s">
        <v>3466</v>
      </c>
      <c r="E22" t="s">
        <v>3467</v>
      </c>
      <c r="G22" t="s">
        <v>3662</v>
      </c>
      <c r="AL22" t="s">
        <v>3504</v>
      </c>
    </row>
    <row r="23" spans="1:38" x14ac:dyDescent="0.15">
      <c r="A23" t="e">
        <f>LEFT(#REF!,2)</f>
        <v>#REF!</v>
      </c>
      <c r="B23" t="s">
        <v>3468</v>
      </c>
      <c r="C23" t="s">
        <v>3596</v>
      </c>
      <c r="G23" t="s">
        <v>3663</v>
      </c>
      <c r="AL23" t="s">
        <v>3505</v>
      </c>
    </row>
    <row r="24" spans="1:38" x14ac:dyDescent="0.15">
      <c r="A24" t="e">
        <f>LEFT(#REF!,2)</f>
        <v>#REF!</v>
      </c>
      <c r="B24" t="s">
        <v>3469</v>
      </c>
      <c r="C24" t="s">
        <v>3597</v>
      </c>
      <c r="G24" t="s">
        <v>3664</v>
      </c>
      <c r="AK24" t="s">
        <v>3506</v>
      </c>
    </row>
    <row r="25" spans="1:38" x14ac:dyDescent="0.15">
      <c r="A25" t="e">
        <f>LEFT(#REF!,2)</f>
        <v>#REF!</v>
      </c>
      <c r="B25" t="s">
        <v>3469</v>
      </c>
      <c r="C25" t="s">
        <v>3598</v>
      </c>
      <c r="G25" t="s">
        <v>3665</v>
      </c>
      <c r="AK25" t="s">
        <v>3507</v>
      </c>
      <c r="AL25" t="s">
        <v>3508</v>
      </c>
    </row>
    <row r="26" spans="1:38" x14ac:dyDescent="0.15">
      <c r="A26" t="e">
        <f>LEFT(#REF!,2)</f>
        <v>#REF!</v>
      </c>
      <c r="B26" t="s">
        <v>3469</v>
      </c>
      <c r="C26" t="s">
        <v>3599</v>
      </c>
      <c r="G26" t="s">
        <v>3666</v>
      </c>
    </row>
    <row r="27" spans="1:38" x14ac:dyDescent="0.15">
      <c r="A27" t="e">
        <f>LEFT(#REF!,2)</f>
        <v>#REF!</v>
      </c>
      <c r="B27" t="s">
        <v>3469</v>
      </c>
      <c r="C27" t="s">
        <v>3600</v>
      </c>
      <c r="G27" t="s">
        <v>3667</v>
      </c>
      <c r="AK27" t="s">
        <v>3509</v>
      </c>
    </row>
    <row r="28" spans="1:38" x14ac:dyDescent="0.15">
      <c r="A28" t="e">
        <f>LEFT(#REF!,2)</f>
        <v>#REF!</v>
      </c>
      <c r="B28" t="s">
        <v>3469</v>
      </c>
      <c r="C28" t="s">
        <v>3601</v>
      </c>
      <c r="G28" t="s">
        <v>3668</v>
      </c>
    </row>
    <row r="29" spans="1:38" x14ac:dyDescent="0.15">
      <c r="A29" t="e">
        <f>LEFT(#REF!,2)</f>
        <v>#REF!</v>
      </c>
      <c r="B29" t="s">
        <v>3469</v>
      </c>
      <c r="C29" t="s">
        <v>3602</v>
      </c>
      <c r="G29" t="s">
        <v>3669</v>
      </c>
    </row>
    <row r="30" spans="1:38" hidden="1" x14ac:dyDescent="0.15">
      <c r="A30" t="e">
        <f>LEFT(#REF!,2)</f>
        <v>#REF!</v>
      </c>
      <c r="B30" t="s">
        <v>3470</v>
      </c>
      <c r="G30" t="s">
        <v>3670</v>
      </c>
    </row>
    <row r="31" spans="1:38" hidden="1" x14ac:dyDescent="0.15">
      <c r="A31" t="e">
        <f>LEFT(#REF!,2)</f>
        <v>#REF!</v>
      </c>
      <c r="B31" t="s">
        <v>3595</v>
      </c>
      <c r="D31" t="s">
        <v>3466</v>
      </c>
      <c r="E31" t="s">
        <v>3471</v>
      </c>
      <c r="G31" t="s">
        <v>3671</v>
      </c>
    </row>
    <row r="32" spans="1:38" x14ac:dyDescent="0.15">
      <c r="A32" t="e">
        <f>LEFT(#REF!,2)</f>
        <v>#REF!</v>
      </c>
      <c r="B32" t="s">
        <v>3468</v>
      </c>
      <c r="C32" t="s">
        <v>3603</v>
      </c>
      <c r="F32" t="s">
        <v>3495</v>
      </c>
    </row>
    <row r="33" spans="1:6" x14ac:dyDescent="0.15">
      <c r="A33" t="e">
        <f>LEFT(#REF!,2)</f>
        <v>#REF!</v>
      </c>
      <c r="B33" t="s">
        <v>3469</v>
      </c>
      <c r="C33" t="s">
        <v>3604</v>
      </c>
    </row>
    <row r="34" spans="1:6" hidden="1" x14ac:dyDescent="0.15">
      <c r="A34" t="e">
        <f>LEFT(#REF!,2)</f>
        <v>#REF!</v>
      </c>
      <c r="B34" t="s">
        <v>3470</v>
      </c>
      <c r="F34" t="s">
        <v>3496</v>
      </c>
    </row>
    <row r="35" spans="1:6" hidden="1" x14ac:dyDescent="0.15">
      <c r="A35" t="e">
        <f>LEFT(#REF!,2)</f>
        <v>#REF!</v>
      </c>
      <c r="B35" t="s">
        <v>3472</v>
      </c>
      <c r="D35" t="s">
        <v>3466</v>
      </c>
      <c r="E35" t="s">
        <v>3473</v>
      </c>
    </row>
    <row r="36" spans="1:6" x14ac:dyDescent="0.15">
      <c r="A36" t="e">
        <f>LEFT(#REF!,2)</f>
        <v>#REF!</v>
      </c>
      <c r="B36" t="s">
        <v>3468</v>
      </c>
      <c r="C36" t="s">
        <v>3605</v>
      </c>
      <c r="F36" t="s">
        <v>3672</v>
      </c>
    </row>
    <row r="37" spans="1:6" x14ac:dyDescent="0.15">
      <c r="A37" t="e">
        <f>LEFT(#REF!,2)</f>
        <v>#REF!</v>
      </c>
      <c r="B37" t="s">
        <v>3469</v>
      </c>
      <c r="C37" t="s">
        <v>3606</v>
      </c>
      <c r="F37" t="s">
        <v>3496</v>
      </c>
    </row>
    <row r="38" spans="1:6" x14ac:dyDescent="0.15">
      <c r="A38" t="e">
        <f>LEFT(#REF!,2)</f>
        <v>#REF!</v>
      </c>
      <c r="B38" t="s">
        <v>3469</v>
      </c>
      <c r="C38" t="s">
        <v>3607</v>
      </c>
    </row>
    <row r="39" spans="1:6" x14ac:dyDescent="0.15">
      <c r="A39" t="e">
        <f>LEFT(#REF!,2)</f>
        <v>#REF!</v>
      </c>
      <c r="B39" t="s">
        <v>3469</v>
      </c>
      <c r="C39" t="s">
        <v>3608</v>
      </c>
      <c r="F39" t="s">
        <v>3673</v>
      </c>
    </row>
    <row r="40" spans="1:6" x14ac:dyDescent="0.15">
      <c r="A40" t="e">
        <f>LEFT(#REF!,2)</f>
        <v>#REF!</v>
      </c>
      <c r="B40" t="s">
        <v>3469</v>
      </c>
      <c r="C40" t="s">
        <v>3609</v>
      </c>
      <c r="F40" t="s">
        <v>3496</v>
      </c>
    </row>
    <row r="41" spans="1:6" x14ac:dyDescent="0.15">
      <c r="A41" t="e">
        <f>LEFT(#REF!,2)</f>
        <v>#REF!</v>
      </c>
      <c r="B41" t="s">
        <v>3469</v>
      </c>
      <c r="C41" t="s">
        <v>3610</v>
      </c>
    </row>
    <row r="42" spans="1:6" hidden="1" x14ac:dyDescent="0.15">
      <c r="A42" t="e">
        <f>LEFT(#REF!,2)</f>
        <v>#REF!</v>
      </c>
      <c r="B42" t="s">
        <v>3470</v>
      </c>
      <c r="F42" t="s">
        <v>3674</v>
      </c>
    </row>
    <row r="43" spans="1:6" hidden="1" x14ac:dyDescent="0.15">
      <c r="A43" t="e">
        <f>LEFT(#REF!,2)</f>
        <v>#REF!</v>
      </c>
      <c r="B43" t="s">
        <v>3474</v>
      </c>
      <c r="D43" t="s">
        <v>3466</v>
      </c>
      <c r="E43" t="s">
        <v>3475</v>
      </c>
      <c r="F43" t="s">
        <v>3496</v>
      </c>
    </row>
    <row r="44" spans="1:6" x14ac:dyDescent="0.15">
      <c r="A44" t="e">
        <f>LEFT(#REF!,2)</f>
        <v>#REF!</v>
      </c>
      <c r="B44" t="s">
        <v>3468</v>
      </c>
      <c r="C44" t="s">
        <v>3611</v>
      </c>
    </row>
    <row r="45" spans="1:6" x14ac:dyDescent="0.15">
      <c r="A45" t="e">
        <f>LEFT(#REF!,2)</f>
        <v>#REF!</v>
      </c>
      <c r="B45" t="s">
        <v>3469</v>
      </c>
      <c r="C45" t="s">
        <v>3612</v>
      </c>
      <c r="F45" t="s">
        <v>3675</v>
      </c>
    </row>
    <row r="46" spans="1:6" hidden="1" x14ac:dyDescent="0.15">
      <c r="A46" t="e">
        <f>LEFT(#REF!,2)</f>
        <v>#REF!</v>
      </c>
      <c r="B46" t="s">
        <v>3470</v>
      </c>
      <c r="F46" t="s">
        <v>3496</v>
      </c>
    </row>
    <row r="47" spans="1:6" hidden="1" x14ac:dyDescent="0.15">
      <c r="A47" t="e">
        <f>LEFT(#REF!,2)</f>
        <v>#REF!</v>
      </c>
      <c r="B47" t="s">
        <v>3613</v>
      </c>
      <c r="D47" t="s">
        <v>3466</v>
      </c>
      <c r="E47" t="s">
        <v>3477</v>
      </c>
    </row>
    <row r="48" spans="1:6" x14ac:dyDescent="0.15">
      <c r="A48" t="e">
        <f>LEFT(#REF!,2)</f>
        <v>#REF!</v>
      </c>
      <c r="B48" t="s">
        <v>3468</v>
      </c>
      <c r="C48" t="s">
        <v>3614</v>
      </c>
      <c r="F48" t="s">
        <v>3676</v>
      </c>
    </row>
    <row r="49" spans="1:6" x14ac:dyDescent="0.15">
      <c r="A49" t="e">
        <f>LEFT(#REF!,2)</f>
        <v>#REF!</v>
      </c>
      <c r="B49" t="s">
        <v>3469</v>
      </c>
      <c r="C49" t="s">
        <v>3615</v>
      </c>
      <c r="F49" t="s">
        <v>3496</v>
      </c>
    </row>
    <row r="50" spans="1:6" x14ac:dyDescent="0.15">
      <c r="A50" t="e">
        <f>LEFT(#REF!,2)</f>
        <v>#REF!</v>
      </c>
      <c r="B50" t="s">
        <v>3469</v>
      </c>
      <c r="C50" t="s">
        <v>3616</v>
      </c>
    </row>
    <row r="51" spans="1:6" hidden="1" x14ac:dyDescent="0.15">
      <c r="A51" t="e">
        <f>LEFT(#REF!,2)</f>
        <v>#REF!</v>
      </c>
      <c r="B51" t="s">
        <v>3470</v>
      </c>
      <c r="F51" t="s">
        <v>3677</v>
      </c>
    </row>
    <row r="52" spans="1:6" hidden="1" x14ac:dyDescent="0.15">
      <c r="A52" t="e">
        <f>LEFT(#REF!,2)</f>
        <v>#REF!</v>
      </c>
      <c r="B52" t="s">
        <v>3476</v>
      </c>
      <c r="D52" t="s">
        <v>3466</v>
      </c>
      <c r="E52" t="s">
        <v>3478</v>
      </c>
      <c r="F52" t="s">
        <v>3496</v>
      </c>
    </row>
    <row r="53" spans="1:6" x14ac:dyDescent="0.15">
      <c r="A53" t="e">
        <f>LEFT(#REF!,2)</f>
        <v>#REF!</v>
      </c>
      <c r="B53" t="s">
        <v>3468</v>
      </c>
      <c r="C53" t="s">
        <v>3617</v>
      </c>
    </row>
    <row r="54" spans="1:6" x14ac:dyDescent="0.15">
      <c r="A54" t="e">
        <f>LEFT(#REF!,2)</f>
        <v>#REF!</v>
      </c>
      <c r="B54" t="s">
        <v>3469</v>
      </c>
      <c r="C54" t="s">
        <v>3618</v>
      </c>
      <c r="F54" t="s">
        <v>3678</v>
      </c>
    </row>
    <row r="55" spans="1:6" x14ac:dyDescent="0.15">
      <c r="A55" t="e">
        <f>LEFT(#REF!,2)</f>
        <v>#REF!</v>
      </c>
      <c r="B55" t="s">
        <v>3469</v>
      </c>
      <c r="C55" t="s">
        <v>3619</v>
      </c>
      <c r="F55" t="s">
        <v>3496</v>
      </c>
    </row>
    <row r="56" spans="1:6" hidden="1" x14ac:dyDescent="0.15">
      <c r="A56" t="e">
        <f>LEFT(#REF!,2)</f>
        <v>#REF!</v>
      </c>
      <c r="B56" t="s">
        <v>3470</v>
      </c>
    </row>
    <row r="57" spans="1:6" hidden="1" x14ac:dyDescent="0.15">
      <c r="A57" t="e">
        <f>LEFT(#REF!,2)</f>
        <v>#REF!</v>
      </c>
      <c r="B57" t="s">
        <v>3620</v>
      </c>
      <c r="D57" t="s">
        <v>3466</v>
      </c>
      <c r="E57" t="s">
        <v>3621</v>
      </c>
      <c r="F57" t="s">
        <v>3679</v>
      </c>
    </row>
    <row r="58" spans="1:6" x14ac:dyDescent="0.15">
      <c r="A58" t="e">
        <f>LEFT(#REF!,2)</f>
        <v>#REF!</v>
      </c>
      <c r="B58" t="s">
        <v>3468</v>
      </c>
      <c r="C58" t="s">
        <v>3622</v>
      </c>
      <c r="F58" t="s">
        <v>3496</v>
      </c>
    </row>
    <row r="59" spans="1:6" x14ac:dyDescent="0.15">
      <c r="A59" t="e">
        <f>LEFT(#REF!,2)</f>
        <v>#REF!</v>
      </c>
      <c r="B59" t="s">
        <v>3469</v>
      </c>
      <c r="C59" t="s">
        <v>3623</v>
      </c>
    </row>
    <row r="60" spans="1:6" x14ac:dyDescent="0.15">
      <c r="A60" t="e">
        <f>LEFT(#REF!,2)</f>
        <v>#REF!</v>
      </c>
      <c r="B60" t="s">
        <v>3469</v>
      </c>
      <c r="C60" t="s">
        <v>3624</v>
      </c>
      <c r="F60" t="s">
        <v>3680</v>
      </c>
    </row>
    <row r="61" spans="1:6" x14ac:dyDescent="0.15">
      <c r="A61" t="e">
        <f>LEFT(#REF!,2)</f>
        <v>#REF!</v>
      </c>
      <c r="B61" t="s">
        <v>3469</v>
      </c>
      <c r="C61" t="s">
        <v>3625</v>
      </c>
    </row>
    <row r="62" spans="1:6" hidden="1" x14ac:dyDescent="0.15">
      <c r="A62" t="e">
        <f>LEFT(#REF!,2)</f>
        <v>#REF!</v>
      </c>
      <c r="B62" t="s">
        <v>3470</v>
      </c>
    </row>
    <row r="63" spans="1:6" hidden="1" x14ac:dyDescent="0.15">
      <c r="A63" t="e">
        <f>LEFT(#REF!,2)</f>
        <v>#REF!</v>
      </c>
      <c r="B63" t="s">
        <v>3620</v>
      </c>
      <c r="D63" t="s">
        <v>3466</v>
      </c>
      <c r="E63" t="s">
        <v>3479</v>
      </c>
    </row>
    <row r="64" spans="1:6" x14ac:dyDescent="0.15">
      <c r="A64" t="e">
        <f>LEFT(#REF!,2)</f>
        <v>#REF!</v>
      </c>
      <c r="B64" t="s">
        <v>3468</v>
      </c>
      <c r="C64" t="s">
        <v>3626</v>
      </c>
    </row>
    <row r="65" spans="1:5" x14ac:dyDescent="0.15">
      <c r="A65" t="e">
        <f>LEFT(#REF!,2)</f>
        <v>#REF!</v>
      </c>
      <c r="B65" t="s">
        <v>3469</v>
      </c>
      <c r="C65" t="s">
        <v>3627</v>
      </c>
    </row>
    <row r="66" spans="1:5" x14ac:dyDescent="0.15">
      <c r="A66" t="e">
        <f>LEFT(#REF!,2)</f>
        <v>#REF!</v>
      </c>
      <c r="B66" t="s">
        <v>3469</v>
      </c>
      <c r="C66" t="s">
        <v>3628</v>
      </c>
    </row>
    <row r="67" spans="1:5" hidden="1" x14ac:dyDescent="0.15">
      <c r="A67" t="e">
        <f>LEFT(#REF!,2)</f>
        <v>#REF!</v>
      </c>
      <c r="B67" t="s">
        <v>3470</v>
      </c>
    </row>
    <row r="68" spans="1:5" hidden="1" x14ac:dyDescent="0.15">
      <c r="A68" t="e">
        <f>LEFT(#REF!,2)</f>
        <v>#REF!</v>
      </c>
      <c r="B68" t="s">
        <v>3480</v>
      </c>
      <c r="D68" t="s">
        <v>3466</v>
      </c>
      <c r="E68" t="s">
        <v>3481</v>
      </c>
    </row>
    <row r="69" spans="1:5" x14ac:dyDescent="0.15">
      <c r="A69" t="e">
        <f>LEFT(#REF!,2)</f>
        <v>#REF!</v>
      </c>
      <c r="B69" t="s">
        <v>3468</v>
      </c>
      <c r="C69" t="s">
        <v>3629</v>
      </c>
    </row>
    <row r="70" spans="1:5" x14ac:dyDescent="0.15">
      <c r="A70" t="e">
        <f>LEFT(#REF!,2)</f>
        <v>#REF!</v>
      </c>
      <c r="B70" t="s">
        <v>3469</v>
      </c>
      <c r="C70" t="s">
        <v>3630</v>
      </c>
    </row>
    <row r="71" spans="1:5" x14ac:dyDescent="0.15">
      <c r="A71" t="e">
        <f>LEFT(#REF!,2)</f>
        <v>#REF!</v>
      </c>
      <c r="B71" t="s">
        <v>3469</v>
      </c>
      <c r="C71" t="s">
        <v>3631</v>
      </c>
    </row>
    <row r="72" spans="1:5" x14ac:dyDescent="0.15">
      <c r="A72" t="e">
        <f>LEFT(#REF!,2)</f>
        <v>#REF!</v>
      </c>
      <c r="B72" t="s">
        <v>3469</v>
      </c>
      <c r="C72" t="s">
        <v>3632</v>
      </c>
    </row>
    <row r="73" spans="1:5" hidden="1" x14ac:dyDescent="0.15">
      <c r="A73" t="e">
        <f>LEFT(#REF!,2)</f>
        <v>#REF!</v>
      </c>
      <c r="B73" t="s">
        <v>3470</v>
      </c>
    </row>
    <row r="74" spans="1:5" hidden="1" x14ac:dyDescent="0.15">
      <c r="A74" t="e">
        <f>LEFT(#REF!,2)</f>
        <v>#REF!</v>
      </c>
      <c r="B74" t="s">
        <v>3633</v>
      </c>
      <c r="D74" t="s">
        <v>3466</v>
      </c>
      <c r="E74" t="s">
        <v>3482</v>
      </c>
    </row>
    <row r="75" spans="1:5" x14ac:dyDescent="0.15">
      <c r="A75" t="e">
        <f>LEFT(#REF!,2)</f>
        <v>#REF!</v>
      </c>
      <c r="B75" t="s">
        <v>3468</v>
      </c>
      <c r="C75" t="s">
        <v>3634</v>
      </c>
    </row>
    <row r="76" spans="1:5" x14ac:dyDescent="0.15">
      <c r="A76" t="e">
        <f>LEFT(#REF!,2)</f>
        <v>#REF!</v>
      </c>
      <c r="B76" t="s">
        <v>3469</v>
      </c>
      <c r="C76" t="s">
        <v>3635</v>
      </c>
    </row>
    <row r="77" spans="1:5" x14ac:dyDescent="0.15">
      <c r="A77" t="e">
        <f>LEFT(#REF!,2)</f>
        <v>#REF!</v>
      </c>
      <c r="B77" t="s">
        <v>3469</v>
      </c>
      <c r="C77" t="s">
        <v>3636</v>
      </c>
    </row>
    <row r="78" spans="1:5" hidden="1" x14ac:dyDescent="0.15">
      <c r="A78" t="e">
        <f>LEFT(#REF!,2)</f>
        <v>#REF!</v>
      </c>
      <c r="B78" t="s">
        <v>3470</v>
      </c>
    </row>
    <row r="79" spans="1:5" hidden="1" x14ac:dyDescent="0.15">
      <c r="A79" t="e">
        <f>LEFT(#REF!,2)</f>
        <v>#REF!</v>
      </c>
      <c r="B79" t="s">
        <v>3483</v>
      </c>
      <c r="D79" t="s">
        <v>3466</v>
      </c>
      <c r="E79" t="s">
        <v>3484</v>
      </c>
    </row>
    <row r="80" spans="1:5" x14ac:dyDescent="0.15">
      <c r="A80" t="e">
        <f>LEFT(#REF!,2)</f>
        <v>#REF!</v>
      </c>
      <c r="B80" t="s">
        <v>3468</v>
      </c>
      <c r="C80" t="s">
        <v>3637</v>
      </c>
    </row>
    <row r="81" spans="1:5" x14ac:dyDescent="0.15">
      <c r="A81" t="e">
        <f>LEFT(#REF!,2)</f>
        <v>#REF!</v>
      </c>
      <c r="B81" t="s">
        <v>3469</v>
      </c>
      <c r="C81" t="s">
        <v>3638</v>
      </c>
    </row>
    <row r="82" spans="1:5" x14ac:dyDescent="0.15">
      <c r="A82" t="e">
        <f>LEFT(#REF!,2)</f>
        <v>#REF!</v>
      </c>
      <c r="B82" t="s">
        <v>3469</v>
      </c>
      <c r="C82" t="s">
        <v>3639</v>
      </c>
    </row>
    <row r="83" spans="1:5" x14ac:dyDescent="0.15">
      <c r="A83" t="e">
        <f>LEFT(#REF!,2)</f>
        <v>#REF!</v>
      </c>
      <c r="B83" t="s">
        <v>3469</v>
      </c>
      <c r="C83" t="s">
        <v>3640</v>
      </c>
    </row>
    <row r="84" spans="1:5" x14ac:dyDescent="0.15">
      <c r="A84" t="e">
        <f>LEFT(#REF!,2)</f>
        <v>#REF!</v>
      </c>
      <c r="B84" t="s">
        <v>3469</v>
      </c>
      <c r="C84" t="s">
        <v>3641</v>
      </c>
    </row>
    <row r="85" spans="1:5" x14ac:dyDescent="0.15">
      <c r="A85" t="e">
        <f>LEFT(#REF!,2)</f>
        <v>#REF!</v>
      </c>
      <c r="B85" t="s">
        <v>3469</v>
      </c>
      <c r="C85" t="s">
        <v>3642</v>
      </c>
    </row>
    <row r="86" spans="1:5" hidden="1" x14ac:dyDescent="0.15">
      <c r="A86" t="e">
        <f>LEFT(#REF!,2)</f>
        <v>#REF!</v>
      </c>
      <c r="B86" t="s">
        <v>3470</v>
      </c>
    </row>
    <row r="87" spans="1:5" hidden="1" x14ac:dyDescent="0.15">
      <c r="A87" t="e">
        <f>LEFT(#REF!,2)</f>
        <v>#REF!</v>
      </c>
      <c r="B87" t="s">
        <v>3485</v>
      </c>
      <c r="D87" t="s">
        <v>3466</v>
      </c>
      <c r="E87" t="s">
        <v>3486</v>
      </c>
    </row>
    <row r="88" spans="1:5" x14ac:dyDescent="0.15">
      <c r="A88" t="e">
        <f>LEFT(#REF!,2)</f>
        <v>#REF!</v>
      </c>
      <c r="B88" t="s">
        <v>3468</v>
      </c>
      <c r="C88" t="s">
        <v>3643</v>
      </c>
    </row>
    <row r="89" spans="1:5" hidden="1" x14ac:dyDescent="0.15">
      <c r="A89" t="e">
        <f>LEFT(#REF!,2)</f>
        <v>#REF!</v>
      </c>
      <c r="B89" t="s">
        <v>3470</v>
      </c>
    </row>
    <row r="90" spans="1:5" hidden="1" x14ac:dyDescent="0.15">
      <c r="A90" t="e">
        <f>LEFT(#REF!,2)</f>
        <v>#REF!</v>
      </c>
      <c r="B90" t="s">
        <v>3487</v>
      </c>
      <c r="D90" t="s">
        <v>3466</v>
      </c>
      <c r="E90" t="s">
        <v>3488</v>
      </c>
    </row>
    <row r="91" spans="1:5" x14ac:dyDescent="0.15">
      <c r="A91" t="e">
        <f>LEFT(#REF!,2)</f>
        <v>#REF!</v>
      </c>
      <c r="B91" t="s">
        <v>3468</v>
      </c>
      <c r="C91" t="s">
        <v>3644</v>
      </c>
    </row>
    <row r="92" spans="1:5" x14ac:dyDescent="0.15">
      <c r="A92" t="e">
        <f>LEFT(#REF!,2)</f>
        <v>#REF!</v>
      </c>
      <c r="B92" t="s">
        <v>3469</v>
      </c>
      <c r="C92" t="s">
        <v>3645</v>
      </c>
    </row>
    <row r="93" spans="1:5" x14ac:dyDescent="0.15">
      <c r="A93" t="e">
        <f>LEFT(#REF!,2)</f>
        <v>#REF!</v>
      </c>
      <c r="B93" t="s">
        <v>3469</v>
      </c>
      <c r="C93" t="s">
        <v>3646</v>
      </c>
    </row>
    <row r="94" spans="1:5" hidden="1" x14ac:dyDescent="0.15">
      <c r="A94" t="e">
        <f>LEFT(#REF!,2)</f>
        <v>#REF!</v>
      </c>
      <c r="B94" t="s">
        <v>3470</v>
      </c>
    </row>
    <row r="95" spans="1:5" hidden="1" x14ac:dyDescent="0.15">
      <c r="A95" t="e">
        <f>LEFT(#REF!,2)</f>
        <v>#REF!</v>
      </c>
      <c r="B95" t="s">
        <v>3489</v>
      </c>
      <c r="D95" t="s">
        <v>3466</v>
      </c>
      <c r="E95" t="s">
        <v>3490</v>
      </c>
    </row>
    <row r="96" spans="1:5" x14ac:dyDescent="0.15">
      <c r="A96" t="e">
        <f>LEFT(#REF!,2)</f>
        <v>#REF!</v>
      </c>
      <c r="B96" t="s">
        <v>3468</v>
      </c>
      <c r="C96" t="s">
        <v>3647</v>
      </c>
    </row>
    <row r="97" spans="1:8" x14ac:dyDescent="0.15">
      <c r="A97" t="e">
        <f>LEFT(#REF!,2)</f>
        <v>#REF!</v>
      </c>
      <c r="B97" t="s">
        <v>3469</v>
      </c>
      <c r="C97" t="s">
        <v>3648</v>
      </c>
    </row>
    <row r="98" spans="1:8" x14ac:dyDescent="0.15">
      <c r="A98" t="e">
        <f>LEFT(#REF!,2)</f>
        <v>#REF!</v>
      </c>
      <c r="B98" t="s">
        <v>3469</v>
      </c>
      <c r="C98" t="s">
        <v>3649</v>
      </c>
    </row>
    <row r="99" spans="1:8" x14ac:dyDescent="0.15">
      <c r="A99" t="e">
        <f>LEFT(#REF!,2)</f>
        <v>#REF!</v>
      </c>
      <c r="B99" t="s">
        <v>3469</v>
      </c>
      <c r="C99" t="s">
        <v>3650</v>
      </c>
    </row>
    <row r="100" spans="1:8" x14ac:dyDescent="0.15">
      <c r="A100" t="e">
        <f>LEFT(#REF!,2)</f>
        <v>#REF!</v>
      </c>
      <c r="B100" t="s">
        <v>3469</v>
      </c>
      <c r="C100" t="s">
        <v>3651</v>
      </c>
    </row>
    <row r="101" spans="1:8" x14ac:dyDescent="0.15">
      <c r="A101" t="e">
        <f>LEFT(#REF!,2)</f>
        <v>#REF!</v>
      </c>
      <c r="B101" t="s">
        <v>3469</v>
      </c>
      <c r="C101" t="s">
        <v>3652</v>
      </c>
    </row>
    <row r="102" spans="1:8" hidden="1" x14ac:dyDescent="0.15">
      <c r="A102" t="e">
        <f>LEFT(#REF!,2)</f>
        <v>#REF!</v>
      </c>
      <c r="B102" t="s">
        <v>3470</v>
      </c>
    </row>
    <row r="103" spans="1:8" hidden="1" x14ac:dyDescent="0.15">
      <c r="A103" t="e">
        <f>LEFT(#REF!,2)</f>
        <v>#REF!</v>
      </c>
      <c r="B103" t="s">
        <v>3489</v>
      </c>
      <c r="D103" t="s">
        <v>3466</v>
      </c>
    </row>
    <row r="104" spans="1:8" x14ac:dyDescent="0.15">
      <c r="A104" t="e">
        <f>LEFT(#REF!,2)</f>
        <v>#REF!</v>
      </c>
      <c r="B104" t="s">
        <v>3468</v>
      </c>
      <c r="C104" t="s">
        <v>3653</v>
      </c>
    </row>
    <row r="105" spans="1:8" x14ac:dyDescent="0.15">
      <c r="A105" t="e">
        <f>LEFT(#REF!,2)</f>
        <v>#REF!</v>
      </c>
      <c r="B105" t="s">
        <v>3469</v>
      </c>
      <c r="C105" t="s">
        <v>3654</v>
      </c>
    </row>
    <row r="106" spans="1:8" x14ac:dyDescent="0.15">
      <c r="A106" t="e">
        <f>LEFT(#REF!,2)</f>
        <v>#REF!</v>
      </c>
      <c r="B106" t="s">
        <v>3469</v>
      </c>
      <c r="C106" t="s">
        <v>3655</v>
      </c>
    </row>
    <row r="107" spans="1:8" x14ac:dyDescent="0.15">
      <c r="A107" t="e">
        <f>LEFT(#REF!,2)</f>
        <v>#REF!</v>
      </c>
      <c r="B107" t="s">
        <v>3469</v>
      </c>
      <c r="C107" t="s">
        <v>3656</v>
      </c>
    </row>
    <row r="108" spans="1:8" hidden="1" x14ac:dyDescent="0.15">
      <c r="A108" t="e">
        <f>LEFT(#REF!,2)</f>
        <v>#REF!</v>
      </c>
      <c r="B108" t="s">
        <v>3491</v>
      </c>
    </row>
    <row r="109" spans="1:8" hidden="1" x14ac:dyDescent="0.15">
      <c r="A109" t="e">
        <f>LEFT(#REF!,2)</f>
        <v>#REF!</v>
      </c>
      <c r="B109" t="s">
        <v>3491</v>
      </c>
      <c r="C109" t="s">
        <v>3510</v>
      </c>
    </row>
    <row r="110" spans="1:8" hidden="1" x14ac:dyDescent="0.15">
      <c r="A110" t="e">
        <f>LEFT(#REF!,2)</f>
        <v>#REF!</v>
      </c>
      <c r="B110" t="s">
        <v>3511</v>
      </c>
    </row>
    <row r="111" spans="1:8" hidden="1" x14ac:dyDescent="0.15">
      <c r="A111" t="e">
        <f>LEFT(#REF!,2)</f>
        <v>#REF!</v>
      </c>
      <c r="B111" t="s">
        <v>3453</v>
      </c>
      <c r="C111" t="s">
        <v>3454</v>
      </c>
      <c r="D111" t="s">
        <v>3455</v>
      </c>
      <c r="E111" t="s">
        <v>3537</v>
      </c>
      <c r="F111" t="s">
        <v>3551</v>
      </c>
      <c r="G111" t="s">
        <v>3557</v>
      </c>
      <c r="H111" t="s">
        <v>3567</v>
      </c>
    </row>
    <row r="112" spans="1:8" hidden="1" x14ac:dyDescent="0.15">
      <c r="A112" t="e">
        <f>LEFT(#REF!,2)</f>
        <v>#REF!</v>
      </c>
      <c r="B112" t="s">
        <v>3512</v>
      </c>
      <c r="C112" t="s">
        <v>3522</v>
      </c>
      <c r="D112" t="s">
        <v>3527</v>
      </c>
      <c r="E112" t="s">
        <v>3538</v>
      </c>
      <c r="F112" t="s">
        <v>3552</v>
      </c>
      <c r="G112" t="s">
        <v>3558</v>
      </c>
      <c r="H112" t="s">
        <v>3568</v>
      </c>
    </row>
    <row r="113" spans="1:8" hidden="1" x14ac:dyDescent="0.15">
      <c r="A113" t="e">
        <f>LEFT(#REF!,2)</f>
        <v>#REF!</v>
      </c>
      <c r="B113" t="s">
        <v>3513</v>
      </c>
      <c r="C113" t="s">
        <v>3523</v>
      </c>
      <c r="D113" t="s">
        <v>3528</v>
      </c>
      <c r="E113" t="s">
        <v>3539</v>
      </c>
      <c r="F113" t="s">
        <v>3553</v>
      </c>
      <c r="G113" t="s">
        <v>3559</v>
      </c>
      <c r="H113" t="s">
        <v>3569</v>
      </c>
    </row>
    <row r="114" spans="1:8" hidden="1" x14ac:dyDescent="0.15">
      <c r="A114" t="e">
        <f>LEFT(#REF!,2)</f>
        <v>#REF!</v>
      </c>
      <c r="B114" t="s">
        <v>3514</v>
      </c>
      <c r="C114" t="s">
        <v>3524</v>
      </c>
      <c r="D114" t="s">
        <v>3529</v>
      </c>
      <c r="E114" t="s">
        <v>3540</v>
      </c>
      <c r="F114" t="s">
        <v>3554</v>
      </c>
      <c r="G114" t="s">
        <v>3560</v>
      </c>
      <c r="H114" t="s">
        <v>3570</v>
      </c>
    </row>
    <row r="115" spans="1:8" hidden="1" x14ac:dyDescent="0.15">
      <c r="A115" t="e">
        <f>LEFT(#REF!,2)</f>
        <v>#REF!</v>
      </c>
      <c r="B115" t="s">
        <v>3515</v>
      </c>
      <c r="C115" t="s">
        <v>3525</v>
      </c>
      <c r="D115" t="s">
        <v>3530</v>
      </c>
      <c r="E115" t="s">
        <v>3541</v>
      </c>
      <c r="F115" t="s">
        <v>3555</v>
      </c>
      <c r="G115" t="s">
        <v>3561</v>
      </c>
      <c r="H115" t="s">
        <v>3571</v>
      </c>
    </row>
    <row r="116" spans="1:8" hidden="1" x14ac:dyDescent="0.15">
      <c r="A116" t="e">
        <f>LEFT(#REF!,2)</f>
        <v>#REF!</v>
      </c>
      <c r="B116" t="s">
        <v>3516</v>
      </c>
      <c r="C116" t="s">
        <v>3526</v>
      </c>
      <c r="D116" t="s">
        <v>3531</v>
      </c>
      <c r="E116" t="s">
        <v>3542</v>
      </c>
      <c r="F116" t="s">
        <v>3556</v>
      </c>
      <c r="G116" t="s">
        <v>3562</v>
      </c>
      <c r="H116" t="s">
        <v>3572</v>
      </c>
    </row>
    <row r="117" spans="1:8" hidden="1" x14ac:dyDescent="0.15">
      <c r="A117" t="e">
        <f>LEFT(#REF!,2)</f>
        <v>#REF!</v>
      </c>
      <c r="B117" t="s">
        <v>3517</v>
      </c>
      <c r="C117" t="s">
        <v>3521</v>
      </c>
      <c r="D117" t="s">
        <v>3532</v>
      </c>
      <c r="E117" t="s">
        <v>3543</v>
      </c>
      <c r="G117" t="s">
        <v>3563</v>
      </c>
      <c r="H117" t="s">
        <v>3573</v>
      </c>
    </row>
    <row r="118" spans="1:8" hidden="1" x14ac:dyDescent="0.15">
      <c r="A118" t="e">
        <f>LEFT(#REF!,2)</f>
        <v>#REF!</v>
      </c>
      <c r="B118" t="s">
        <v>3518</v>
      </c>
      <c r="D118" t="s">
        <v>3533</v>
      </c>
      <c r="E118" t="s">
        <v>3544</v>
      </c>
      <c r="G118" t="s">
        <v>3564</v>
      </c>
      <c r="H118" t="s">
        <v>3574</v>
      </c>
    </row>
    <row r="119" spans="1:8" hidden="1" x14ac:dyDescent="0.15">
      <c r="A119" t="e">
        <f>LEFT(#REF!,2)</f>
        <v>#REF!</v>
      </c>
      <c r="B119" t="s">
        <v>3519</v>
      </c>
      <c r="D119" t="s">
        <v>3534</v>
      </c>
      <c r="E119" t="s">
        <v>3545</v>
      </c>
      <c r="G119" t="s">
        <v>3565</v>
      </c>
    </row>
    <row r="120" spans="1:8" hidden="1" x14ac:dyDescent="0.15">
      <c r="A120" t="e">
        <f>LEFT(#REF!,2)</f>
        <v>#REF!</v>
      </c>
      <c r="B120" t="s">
        <v>3520</v>
      </c>
      <c r="D120" t="s">
        <v>3535</v>
      </c>
      <c r="E120" t="s">
        <v>3546</v>
      </c>
      <c r="G120" t="s">
        <v>3566</v>
      </c>
    </row>
    <row r="121" spans="1:8" hidden="1" x14ac:dyDescent="0.15">
      <c r="A121" t="e">
        <f>LEFT(#REF!,2)</f>
        <v>#REF!</v>
      </c>
      <c r="B121" t="s">
        <v>3521</v>
      </c>
      <c r="D121" t="s">
        <v>3536</v>
      </c>
      <c r="E121" t="s">
        <v>3547</v>
      </c>
    </row>
    <row r="122" spans="1:8" hidden="1" x14ac:dyDescent="0.15">
      <c r="A122" t="e">
        <f>LEFT(#REF!,2)</f>
        <v>#REF!</v>
      </c>
      <c r="E122" t="s">
        <v>3548</v>
      </c>
    </row>
    <row r="123" spans="1:8" hidden="1" x14ac:dyDescent="0.15">
      <c r="A123" t="e">
        <f>LEFT(#REF!,2)</f>
        <v>#REF!</v>
      </c>
      <c r="E123" t="s">
        <v>3549</v>
      </c>
    </row>
    <row r="124" spans="1:8" hidden="1" x14ac:dyDescent="0.15">
      <c r="A124" t="e">
        <f>LEFT(#REF!,2)</f>
        <v>#REF!</v>
      </c>
      <c r="E124" t="s">
        <v>3550</v>
      </c>
    </row>
    <row r="125" spans="1:8" hidden="1" x14ac:dyDescent="0.15">
      <c r="A125" t="e">
        <f>LEFT(#REF!,2)</f>
        <v>#REF!</v>
      </c>
      <c r="B125" t="s">
        <v>3575</v>
      </c>
    </row>
    <row r="126" spans="1:8" hidden="1" x14ac:dyDescent="0.15">
      <c r="A126" t="e">
        <f>LEFT(#REF!,2)</f>
        <v>#REF!</v>
      </c>
    </row>
    <row r="127" spans="1:8" hidden="1" x14ac:dyDescent="0.15">
      <c r="A127" t="e">
        <f>LEFT(#REF!,2)</f>
        <v>#REF!</v>
      </c>
    </row>
    <row r="128" spans="1:8" hidden="1" x14ac:dyDescent="0.15">
      <c r="A128" t="e">
        <f>LEFT(#REF!,2)</f>
        <v>#REF!</v>
      </c>
    </row>
    <row r="129" spans="1:1" hidden="1" x14ac:dyDescent="0.15">
      <c r="A129" t="e">
        <f>LEFT(#REF!,2)</f>
        <v>#REF!</v>
      </c>
    </row>
    <row r="130" spans="1:1" hidden="1" x14ac:dyDescent="0.15">
      <c r="A130" t="e">
        <f>LEFT(#REF!,2)</f>
        <v>#REF!</v>
      </c>
    </row>
    <row r="131" spans="1:1" hidden="1" x14ac:dyDescent="0.15">
      <c r="A131" t="e">
        <f>LEFT(#REF!,2)</f>
        <v>#REF!</v>
      </c>
    </row>
    <row r="132" spans="1:1" hidden="1" x14ac:dyDescent="0.15">
      <c r="A132" t="e">
        <f>LEFT(#REF!,2)</f>
        <v>#REF!</v>
      </c>
    </row>
    <row r="133" spans="1:1" hidden="1" x14ac:dyDescent="0.15">
      <c r="A133" t="e">
        <f>LEFT(#REF!,2)</f>
        <v>#REF!</v>
      </c>
    </row>
    <row r="134" spans="1:1" hidden="1" x14ac:dyDescent="0.15">
      <c r="A134" t="e">
        <f>LEFT(#REF!,2)</f>
        <v>#REF!</v>
      </c>
    </row>
    <row r="135" spans="1:1" hidden="1" x14ac:dyDescent="0.15">
      <c r="A135" t="e">
        <f>LEFT(#REF!,2)</f>
        <v>#REF!</v>
      </c>
    </row>
    <row r="136" spans="1:1" hidden="1" x14ac:dyDescent="0.15">
      <c r="A136" t="e">
        <f>LEFT(#REF!,2)</f>
        <v>#REF!</v>
      </c>
    </row>
    <row r="137" spans="1:1" hidden="1" x14ac:dyDescent="0.15">
      <c r="A137" t="e">
        <f>LEFT(#REF!,2)</f>
        <v>#REF!</v>
      </c>
    </row>
    <row r="138" spans="1:1" hidden="1" x14ac:dyDescent="0.15">
      <c r="A138" t="str">
        <f t="shared" ref="A138:A169" si="0">LEFT(B125,2)</f>
        <v>本網</v>
      </c>
    </row>
    <row r="139" spans="1:1" hidden="1" x14ac:dyDescent="0.15">
      <c r="A139" t="str">
        <f t="shared" si="0"/>
        <v/>
      </c>
    </row>
    <row r="140" spans="1:1" hidden="1" x14ac:dyDescent="0.15">
      <c r="A140" t="str">
        <f t="shared" si="0"/>
        <v/>
      </c>
    </row>
    <row r="141" spans="1:1" hidden="1" x14ac:dyDescent="0.15">
      <c r="A141" t="str">
        <f t="shared" si="0"/>
        <v/>
      </c>
    </row>
    <row r="142" spans="1:1" hidden="1" x14ac:dyDescent="0.15">
      <c r="A142" t="str">
        <f t="shared" si="0"/>
        <v/>
      </c>
    </row>
    <row r="143" spans="1:1" hidden="1" x14ac:dyDescent="0.15">
      <c r="A143" t="str">
        <f t="shared" si="0"/>
        <v/>
      </c>
    </row>
    <row r="144" spans="1:1" hidden="1" x14ac:dyDescent="0.15">
      <c r="A144" t="str">
        <f t="shared" si="0"/>
        <v/>
      </c>
    </row>
    <row r="145" spans="1:1" hidden="1" x14ac:dyDescent="0.15">
      <c r="A145" t="str">
        <f t="shared" si="0"/>
        <v/>
      </c>
    </row>
    <row r="146" spans="1:1" hidden="1" x14ac:dyDescent="0.15">
      <c r="A146" t="str">
        <f t="shared" si="0"/>
        <v/>
      </c>
    </row>
    <row r="147" spans="1:1" hidden="1" x14ac:dyDescent="0.15">
      <c r="A147" t="str">
        <f t="shared" si="0"/>
        <v/>
      </c>
    </row>
    <row r="148" spans="1:1" hidden="1" x14ac:dyDescent="0.15">
      <c r="A148" t="str">
        <f t="shared" si="0"/>
        <v/>
      </c>
    </row>
    <row r="149" spans="1:1" hidden="1" x14ac:dyDescent="0.15">
      <c r="A149" t="str">
        <f t="shared" si="0"/>
        <v/>
      </c>
    </row>
    <row r="150" spans="1:1" hidden="1" x14ac:dyDescent="0.15">
      <c r="A150" t="str">
        <f t="shared" si="0"/>
        <v/>
      </c>
    </row>
    <row r="151" spans="1:1" hidden="1" x14ac:dyDescent="0.15">
      <c r="A151" t="str">
        <f t="shared" si="0"/>
        <v/>
      </c>
    </row>
    <row r="152" spans="1:1" hidden="1" x14ac:dyDescent="0.15">
      <c r="A152" t="str">
        <f t="shared" si="0"/>
        <v/>
      </c>
    </row>
    <row r="153" spans="1:1" hidden="1" x14ac:dyDescent="0.15">
      <c r="A153" t="str">
        <f t="shared" si="0"/>
        <v/>
      </c>
    </row>
    <row r="154" spans="1:1" hidden="1" x14ac:dyDescent="0.15">
      <c r="A154" t="str">
        <f t="shared" si="0"/>
        <v/>
      </c>
    </row>
    <row r="155" spans="1:1" hidden="1" x14ac:dyDescent="0.15">
      <c r="A155" t="str">
        <f t="shared" si="0"/>
        <v/>
      </c>
    </row>
    <row r="156" spans="1:1" hidden="1" x14ac:dyDescent="0.15">
      <c r="A156" t="str">
        <f t="shared" si="0"/>
        <v/>
      </c>
    </row>
    <row r="157" spans="1:1" hidden="1" x14ac:dyDescent="0.15">
      <c r="A157" t="str">
        <f t="shared" si="0"/>
        <v/>
      </c>
    </row>
    <row r="158" spans="1:1" hidden="1" x14ac:dyDescent="0.15">
      <c r="A158" t="str">
        <f t="shared" si="0"/>
        <v/>
      </c>
    </row>
    <row r="159" spans="1:1" hidden="1" x14ac:dyDescent="0.15">
      <c r="A159" t="str">
        <f t="shared" si="0"/>
        <v/>
      </c>
    </row>
    <row r="160" spans="1:1" hidden="1" x14ac:dyDescent="0.15">
      <c r="A160" t="str">
        <f t="shared" si="0"/>
        <v/>
      </c>
    </row>
    <row r="161" spans="1:1" hidden="1" x14ac:dyDescent="0.15">
      <c r="A161" t="str">
        <f t="shared" si="0"/>
        <v/>
      </c>
    </row>
    <row r="162" spans="1:1" hidden="1" x14ac:dyDescent="0.15">
      <c r="A162" t="str">
        <f t="shared" si="0"/>
        <v/>
      </c>
    </row>
    <row r="163" spans="1:1" hidden="1" x14ac:dyDescent="0.15">
      <c r="A163" t="str">
        <f t="shared" si="0"/>
        <v/>
      </c>
    </row>
    <row r="164" spans="1:1" hidden="1" x14ac:dyDescent="0.15">
      <c r="A164" t="str">
        <f t="shared" si="0"/>
        <v/>
      </c>
    </row>
    <row r="165" spans="1:1" hidden="1" x14ac:dyDescent="0.15">
      <c r="A165" t="str">
        <f t="shared" si="0"/>
        <v/>
      </c>
    </row>
    <row r="166" spans="1:1" hidden="1" x14ac:dyDescent="0.15">
      <c r="A166" t="str">
        <f t="shared" si="0"/>
        <v/>
      </c>
    </row>
    <row r="167" spans="1:1" hidden="1" x14ac:dyDescent="0.15">
      <c r="A167" t="str">
        <f t="shared" si="0"/>
        <v/>
      </c>
    </row>
    <row r="168" spans="1:1" hidden="1" x14ac:dyDescent="0.15">
      <c r="A168" t="str">
        <f t="shared" si="0"/>
        <v/>
      </c>
    </row>
    <row r="169" spans="1:1" hidden="1" x14ac:dyDescent="0.15">
      <c r="A169" t="str">
        <f t="shared" si="0"/>
        <v/>
      </c>
    </row>
    <row r="170" spans="1:1" hidden="1" x14ac:dyDescent="0.15">
      <c r="A170" t="str">
        <f t="shared" ref="A170:A194" si="1">LEFT(B157,2)</f>
        <v/>
      </c>
    </row>
    <row r="171" spans="1:1" hidden="1" x14ac:dyDescent="0.15">
      <c r="A171" t="str">
        <f t="shared" si="1"/>
        <v/>
      </c>
    </row>
    <row r="172" spans="1:1" hidden="1" x14ac:dyDescent="0.15">
      <c r="A172" t="str">
        <f t="shared" si="1"/>
        <v/>
      </c>
    </row>
    <row r="173" spans="1:1" hidden="1" x14ac:dyDescent="0.15">
      <c r="A173" t="str">
        <f t="shared" si="1"/>
        <v/>
      </c>
    </row>
    <row r="174" spans="1:1" hidden="1" x14ac:dyDescent="0.15">
      <c r="A174" t="str">
        <f t="shared" si="1"/>
        <v/>
      </c>
    </row>
    <row r="175" spans="1:1" hidden="1" x14ac:dyDescent="0.15">
      <c r="A175" t="str">
        <f t="shared" si="1"/>
        <v/>
      </c>
    </row>
    <row r="176" spans="1:1" hidden="1" x14ac:dyDescent="0.15">
      <c r="A176" t="str">
        <f t="shared" si="1"/>
        <v/>
      </c>
    </row>
    <row r="177" spans="1:1" hidden="1" x14ac:dyDescent="0.15">
      <c r="A177" t="str">
        <f t="shared" si="1"/>
        <v/>
      </c>
    </row>
    <row r="178" spans="1:1" hidden="1" x14ac:dyDescent="0.15">
      <c r="A178" t="str">
        <f t="shared" si="1"/>
        <v/>
      </c>
    </row>
    <row r="179" spans="1:1" hidden="1" x14ac:dyDescent="0.15">
      <c r="A179" t="str">
        <f t="shared" si="1"/>
        <v/>
      </c>
    </row>
    <row r="180" spans="1:1" hidden="1" x14ac:dyDescent="0.15">
      <c r="A180" t="str">
        <f t="shared" si="1"/>
        <v/>
      </c>
    </row>
    <row r="181" spans="1:1" hidden="1" x14ac:dyDescent="0.15">
      <c r="A181" t="str">
        <f t="shared" si="1"/>
        <v/>
      </c>
    </row>
    <row r="182" spans="1:1" hidden="1" x14ac:dyDescent="0.15">
      <c r="A182" t="str">
        <f t="shared" si="1"/>
        <v/>
      </c>
    </row>
    <row r="183" spans="1:1" hidden="1" x14ac:dyDescent="0.15">
      <c r="A183" t="str">
        <f t="shared" si="1"/>
        <v/>
      </c>
    </row>
    <row r="184" spans="1:1" hidden="1" x14ac:dyDescent="0.15">
      <c r="A184" t="str">
        <f t="shared" si="1"/>
        <v/>
      </c>
    </row>
    <row r="185" spans="1:1" hidden="1" x14ac:dyDescent="0.15">
      <c r="A185" t="str">
        <f t="shared" si="1"/>
        <v/>
      </c>
    </row>
    <row r="186" spans="1:1" hidden="1" x14ac:dyDescent="0.15">
      <c r="A186" t="str">
        <f t="shared" si="1"/>
        <v/>
      </c>
    </row>
    <row r="187" spans="1:1" hidden="1" x14ac:dyDescent="0.15">
      <c r="A187" t="str">
        <f t="shared" si="1"/>
        <v/>
      </c>
    </row>
    <row r="188" spans="1:1" hidden="1" x14ac:dyDescent="0.15">
      <c r="A188" t="str">
        <f t="shared" si="1"/>
        <v/>
      </c>
    </row>
    <row r="189" spans="1:1" hidden="1" x14ac:dyDescent="0.15">
      <c r="A189" t="str">
        <f t="shared" si="1"/>
        <v/>
      </c>
    </row>
    <row r="190" spans="1:1" hidden="1" x14ac:dyDescent="0.15">
      <c r="A190" t="str">
        <f t="shared" si="1"/>
        <v/>
      </c>
    </row>
    <row r="191" spans="1:1" hidden="1" x14ac:dyDescent="0.15">
      <c r="A191" t="str">
        <f t="shared" si="1"/>
        <v/>
      </c>
    </row>
    <row r="192" spans="1:1" hidden="1" x14ac:dyDescent="0.15">
      <c r="A192" t="str">
        <f t="shared" si="1"/>
        <v/>
      </c>
    </row>
    <row r="193" spans="1:1" hidden="1" x14ac:dyDescent="0.15">
      <c r="A193" t="str">
        <f t="shared" si="1"/>
        <v/>
      </c>
    </row>
    <row r="194" spans="1:1" hidden="1" x14ac:dyDescent="0.15">
      <c r="A194" t="str">
        <f t="shared" si="1"/>
        <v/>
      </c>
    </row>
    <row r="195" spans="1:1" hidden="1" x14ac:dyDescent="0.15">
      <c r="A195" t="str">
        <f t="shared" ref="A195:A209" si="2">LEFT(B182,2)</f>
        <v/>
      </c>
    </row>
    <row r="196" spans="1:1" hidden="1" x14ac:dyDescent="0.15">
      <c r="A196" t="str">
        <f t="shared" si="2"/>
        <v/>
      </c>
    </row>
    <row r="197" spans="1:1" hidden="1" x14ac:dyDescent="0.15">
      <c r="A197" t="str">
        <f t="shared" si="2"/>
        <v/>
      </c>
    </row>
    <row r="198" spans="1:1" hidden="1" x14ac:dyDescent="0.15">
      <c r="A198" t="str">
        <f t="shared" si="2"/>
        <v/>
      </c>
    </row>
    <row r="199" spans="1:1" hidden="1" x14ac:dyDescent="0.15">
      <c r="A199" t="str">
        <f t="shared" si="2"/>
        <v/>
      </c>
    </row>
    <row r="200" spans="1:1" hidden="1" x14ac:dyDescent="0.15">
      <c r="A200" t="str">
        <f t="shared" si="2"/>
        <v/>
      </c>
    </row>
    <row r="201" spans="1:1" hidden="1" x14ac:dyDescent="0.15">
      <c r="A201" t="str">
        <f t="shared" si="2"/>
        <v/>
      </c>
    </row>
    <row r="202" spans="1:1" hidden="1" x14ac:dyDescent="0.15">
      <c r="A202" t="str">
        <f t="shared" si="2"/>
        <v/>
      </c>
    </row>
    <row r="203" spans="1:1" hidden="1" x14ac:dyDescent="0.15">
      <c r="A203" t="str">
        <f t="shared" si="2"/>
        <v/>
      </c>
    </row>
    <row r="204" spans="1:1" hidden="1" x14ac:dyDescent="0.15">
      <c r="A204" t="str">
        <f t="shared" si="2"/>
        <v/>
      </c>
    </row>
    <row r="205" spans="1:1" hidden="1" x14ac:dyDescent="0.15">
      <c r="A205" t="str">
        <f t="shared" si="2"/>
        <v/>
      </c>
    </row>
    <row r="206" spans="1:1" hidden="1" x14ac:dyDescent="0.15">
      <c r="A206" t="str">
        <f t="shared" si="2"/>
        <v/>
      </c>
    </row>
    <row r="207" spans="1:1" hidden="1" x14ac:dyDescent="0.15">
      <c r="A207" t="str">
        <f t="shared" si="2"/>
        <v/>
      </c>
    </row>
    <row r="208" spans="1:1" hidden="1" x14ac:dyDescent="0.15">
      <c r="A208" t="str">
        <f t="shared" si="2"/>
        <v/>
      </c>
    </row>
    <row r="209" spans="1:1" hidden="1" x14ac:dyDescent="0.15">
      <c r="A209" t="str">
        <f t="shared" si="2"/>
        <v/>
      </c>
    </row>
  </sheetData>
  <autoFilter ref="A2:C209">
    <filterColumn colId="1">
      <filters>
        <filter val="●"/>
      </filters>
    </filterColumn>
  </autoFilter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 filterMode="1" enableFormatConditionsCalculation="0"/>
  <dimension ref="A2:I306"/>
  <sheetViews>
    <sheetView topLeftCell="A76" workbookViewId="0">
      <selection activeCell="C12" sqref="C12:C147"/>
    </sheetView>
  </sheetViews>
  <sheetFormatPr baseColWidth="10" defaultColWidth="8.83203125" defaultRowHeight="15" x14ac:dyDescent="0.15"/>
  <cols>
    <col min="3" max="3" width="8.5" customWidth="1"/>
  </cols>
  <sheetData>
    <row r="2" spans="1:3" x14ac:dyDescent="0.15">
      <c r="A2" t="str">
        <f>LEFT(C2)</f>
        <v>首</v>
      </c>
      <c r="B2">
        <f>LEN(C2)</f>
        <v>2</v>
      </c>
      <c r="C2" s="2" t="s">
        <v>0</v>
      </c>
    </row>
    <row r="3" spans="1:3" hidden="1" x14ac:dyDescent="0.15">
      <c r="A3" t="str">
        <f t="shared" ref="A3:A66" si="0">LEFT(C3)</f>
        <v/>
      </c>
      <c r="B3">
        <f t="shared" ref="B3:B66" si="1">LEN(C3)</f>
        <v>0</v>
      </c>
      <c r="C3" s="1"/>
    </row>
    <row r="4" spans="1:3" hidden="1" x14ac:dyDescent="0.15">
      <c r="A4" t="str">
        <f t="shared" si="0"/>
        <v>財</v>
      </c>
      <c r="B4">
        <f t="shared" si="1"/>
        <v>2</v>
      </c>
      <c r="C4" s="2" t="s">
        <v>1</v>
      </c>
    </row>
    <row r="5" spans="1:3" hidden="1" x14ac:dyDescent="0.15">
      <c r="A5" t="str">
        <f t="shared" si="0"/>
        <v/>
      </c>
      <c r="B5">
        <f t="shared" si="1"/>
        <v>0</v>
      </c>
      <c r="C5" s="1"/>
    </row>
    <row r="6" spans="1:3" hidden="1" x14ac:dyDescent="0.15">
      <c r="A6" t="str">
        <f t="shared" si="0"/>
        <v>要</v>
      </c>
      <c r="B6">
        <f t="shared" si="1"/>
        <v>2</v>
      </c>
      <c r="C6" s="2" t="s">
        <v>2</v>
      </c>
    </row>
    <row r="7" spans="1:3" hidden="1" x14ac:dyDescent="0.15">
      <c r="A7" t="str">
        <f t="shared" si="0"/>
        <v/>
      </c>
      <c r="B7">
        <f t="shared" si="1"/>
        <v>0</v>
      </c>
    </row>
    <row r="8" spans="1:3" ht="18" hidden="1" x14ac:dyDescent="0.15">
      <c r="A8" t="str">
        <f t="shared" si="0"/>
        <v>新</v>
      </c>
      <c r="B8">
        <f t="shared" si="1"/>
        <v>4</v>
      </c>
      <c r="C8" s="24" t="s">
        <v>3</v>
      </c>
    </row>
    <row r="9" spans="1:3" hidden="1" x14ac:dyDescent="0.15">
      <c r="A9" t="str">
        <f t="shared" si="0"/>
        <v/>
      </c>
      <c r="B9">
        <f t="shared" si="1"/>
        <v>0</v>
      </c>
      <c r="C9" s="3"/>
    </row>
    <row r="10" spans="1:3" ht="18" hidden="1" x14ac:dyDescent="0.15">
      <c r="A10" t="str">
        <f t="shared" si="0"/>
        <v>財</v>
      </c>
      <c r="B10">
        <f t="shared" si="1"/>
        <v>11</v>
      </c>
      <c r="C10" s="24" t="s">
        <v>4</v>
      </c>
    </row>
    <row r="11" spans="1:3" hidden="1" x14ac:dyDescent="0.15">
      <c r="A11" t="str">
        <f t="shared" si="0"/>
        <v/>
      </c>
      <c r="B11">
        <f t="shared" si="1"/>
        <v>0</v>
      </c>
      <c r="C11" s="1"/>
    </row>
    <row r="12" spans="1:3" x14ac:dyDescent="0.15">
      <c r="A12" t="str">
        <f t="shared" si="0"/>
        <v>陸</v>
      </c>
      <c r="B12">
        <f t="shared" si="1"/>
        <v>14</v>
      </c>
      <c r="C12" s="2" t="s">
        <v>3684</v>
      </c>
    </row>
    <row r="13" spans="1:3" hidden="1" x14ac:dyDescent="0.15">
      <c r="A13" t="str">
        <f t="shared" si="0"/>
        <v/>
      </c>
      <c r="B13">
        <f t="shared" si="1"/>
        <v>0</v>
      </c>
      <c r="C13" s="1"/>
    </row>
    <row r="14" spans="1:3" hidden="1" x14ac:dyDescent="0.15">
      <c r="A14" t="str">
        <f t="shared" si="0"/>
        <v>0</v>
      </c>
      <c r="B14">
        <f t="shared" si="1"/>
        <v>12</v>
      </c>
      <c r="C14" s="59" t="s">
        <v>3685</v>
      </c>
    </row>
    <row r="15" spans="1:3" hidden="1" x14ac:dyDescent="0.15">
      <c r="A15" t="str">
        <f t="shared" si="0"/>
        <v/>
      </c>
      <c r="B15">
        <f t="shared" si="1"/>
        <v>0</v>
      </c>
      <c r="C15" s="1"/>
    </row>
    <row r="16" spans="1:3" x14ac:dyDescent="0.15">
      <c r="A16" t="str">
        <f t="shared" si="0"/>
        <v>強</v>
      </c>
      <c r="B16">
        <f t="shared" si="1"/>
        <v>13</v>
      </c>
      <c r="C16" s="2" t="s">
        <v>3686</v>
      </c>
    </row>
    <row r="17" spans="1:3" hidden="1" x14ac:dyDescent="0.15">
      <c r="A17" t="str">
        <f t="shared" si="0"/>
        <v/>
      </c>
      <c r="B17">
        <f t="shared" si="1"/>
        <v>0</v>
      </c>
      <c r="C17" s="1"/>
    </row>
    <row r="18" spans="1:3" hidden="1" x14ac:dyDescent="0.15">
      <c r="A18" t="str">
        <f t="shared" si="0"/>
        <v>0</v>
      </c>
      <c r="B18">
        <f t="shared" si="1"/>
        <v>12</v>
      </c>
      <c r="C18" s="59" t="s">
        <v>3687</v>
      </c>
    </row>
    <row r="19" spans="1:3" hidden="1" x14ac:dyDescent="0.15">
      <c r="A19" t="str">
        <f t="shared" si="0"/>
        <v/>
      </c>
      <c r="B19">
        <f t="shared" si="1"/>
        <v>0</v>
      </c>
      <c r="C19" s="1"/>
    </row>
    <row r="20" spans="1:3" x14ac:dyDescent="0.15">
      <c r="A20" t="str">
        <f t="shared" si="0"/>
        <v>旺</v>
      </c>
      <c r="B20">
        <f t="shared" si="1"/>
        <v>16</v>
      </c>
      <c r="C20" s="2" t="s">
        <v>3688</v>
      </c>
    </row>
    <row r="21" spans="1:3" hidden="1" x14ac:dyDescent="0.15">
      <c r="A21" t="str">
        <f t="shared" si="0"/>
        <v/>
      </c>
      <c r="B21">
        <f t="shared" si="1"/>
        <v>0</v>
      </c>
      <c r="C21" s="1"/>
    </row>
    <row r="22" spans="1:3" hidden="1" x14ac:dyDescent="0.15">
      <c r="A22" t="str">
        <f t="shared" si="0"/>
        <v>0</v>
      </c>
      <c r="B22">
        <f t="shared" si="1"/>
        <v>11</v>
      </c>
      <c r="C22" s="59" t="s">
        <v>3689</v>
      </c>
    </row>
    <row r="23" spans="1:3" hidden="1" x14ac:dyDescent="0.15">
      <c r="A23" t="str">
        <f t="shared" si="0"/>
        <v/>
      </c>
      <c r="B23">
        <f t="shared" si="1"/>
        <v>0</v>
      </c>
      <c r="C23" s="1"/>
    </row>
    <row r="24" spans="1:3" x14ac:dyDescent="0.15">
      <c r="A24" t="str">
        <f t="shared" si="0"/>
        <v>上</v>
      </c>
      <c r="B24">
        <f t="shared" si="1"/>
        <v>15</v>
      </c>
      <c r="C24" s="2" t="s">
        <v>3690</v>
      </c>
    </row>
    <row r="25" spans="1:3" hidden="1" x14ac:dyDescent="0.15">
      <c r="A25" t="str">
        <f t="shared" si="0"/>
        <v/>
      </c>
      <c r="B25">
        <f t="shared" si="1"/>
        <v>0</v>
      </c>
      <c r="C25" s="1"/>
    </row>
    <row r="26" spans="1:3" hidden="1" x14ac:dyDescent="0.15">
      <c r="A26" t="str">
        <f t="shared" si="0"/>
        <v>0</v>
      </c>
      <c r="B26">
        <f t="shared" si="1"/>
        <v>12</v>
      </c>
      <c r="C26" s="59" t="s">
        <v>3691</v>
      </c>
    </row>
    <row r="27" spans="1:3" hidden="1" x14ac:dyDescent="0.15">
      <c r="A27" t="str">
        <f t="shared" si="0"/>
        <v/>
      </c>
      <c r="B27">
        <f t="shared" si="1"/>
        <v>0</v>
      </c>
      <c r="C27" s="1"/>
    </row>
    <row r="28" spans="1:3" x14ac:dyDescent="0.15">
      <c r="A28" t="str">
        <f t="shared" si="0"/>
        <v>上</v>
      </c>
      <c r="B28">
        <f t="shared" si="1"/>
        <v>14</v>
      </c>
      <c r="C28" s="2" t="s">
        <v>3692</v>
      </c>
    </row>
    <row r="29" spans="1:3" hidden="1" x14ac:dyDescent="0.15">
      <c r="A29" t="str">
        <f t="shared" si="0"/>
        <v/>
      </c>
      <c r="B29">
        <f t="shared" si="1"/>
        <v>0</v>
      </c>
      <c r="C29" s="1"/>
    </row>
    <row r="30" spans="1:3" hidden="1" x14ac:dyDescent="0.15">
      <c r="A30" t="str">
        <f t="shared" si="0"/>
        <v>0</v>
      </c>
      <c r="B30">
        <f t="shared" si="1"/>
        <v>12</v>
      </c>
      <c r="C30" s="59" t="s">
        <v>3693</v>
      </c>
    </row>
    <row r="31" spans="1:3" hidden="1" x14ac:dyDescent="0.15">
      <c r="A31" t="str">
        <f t="shared" si="0"/>
        <v/>
      </c>
      <c r="B31">
        <f t="shared" si="1"/>
        <v>0</v>
      </c>
      <c r="C31" s="1"/>
    </row>
    <row r="32" spans="1:3" x14ac:dyDescent="0.15">
      <c r="A32" t="str">
        <f t="shared" si="0"/>
        <v>阿</v>
      </c>
      <c r="B32">
        <f t="shared" si="1"/>
        <v>15</v>
      </c>
      <c r="C32" s="2" t="s">
        <v>3694</v>
      </c>
    </row>
    <row r="33" spans="1:3" hidden="1" x14ac:dyDescent="0.15">
      <c r="A33" t="str">
        <f t="shared" si="0"/>
        <v/>
      </c>
      <c r="B33">
        <f t="shared" si="1"/>
        <v>0</v>
      </c>
      <c r="C33" s="1"/>
    </row>
    <row r="34" spans="1:3" hidden="1" x14ac:dyDescent="0.15">
      <c r="A34" t="str">
        <f t="shared" si="0"/>
        <v>0</v>
      </c>
      <c r="B34">
        <f t="shared" si="1"/>
        <v>12</v>
      </c>
      <c r="C34" s="59" t="s">
        <v>3695</v>
      </c>
    </row>
    <row r="35" spans="1:3" hidden="1" x14ac:dyDescent="0.15">
      <c r="A35" t="str">
        <f t="shared" si="0"/>
        <v/>
      </c>
      <c r="B35">
        <f t="shared" si="1"/>
        <v>0</v>
      </c>
      <c r="C35" s="1"/>
    </row>
    <row r="36" spans="1:3" x14ac:dyDescent="0.15">
      <c r="A36" t="str">
        <f t="shared" si="0"/>
        <v>G</v>
      </c>
      <c r="B36">
        <f t="shared" si="1"/>
        <v>22</v>
      </c>
      <c r="C36" s="2" t="s">
        <v>3696</v>
      </c>
    </row>
    <row r="37" spans="1:3" hidden="1" x14ac:dyDescent="0.15">
      <c r="A37" t="str">
        <f t="shared" si="0"/>
        <v/>
      </c>
      <c r="B37">
        <f t="shared" si="1"/>
        <v>0</v>
      </c>
      <c r="C37" s="1"/>
    </row>
    <row r="38" spans="1:3" hidden="1" x14ac:dyDescent="0.15">
      <c r="A38" t="str">
        <f t="shared" si="0"/>
        <v>0</v>
      </c>
      <c r="B38">
        <f t="shared" si="1"/>
        <v>12</v>
      </c>
      <c r="C38" s="59" t="s">
        <v>3697</v>
      </c>
    </row>
    <row r="39" spans="1:3" hidden="1" x14ac:dyDescent="0.15">
      <c r="A39" t="str">
        <f t="shared" si="0"/>
        <v/>
      </c>
      <c r="B39">
        <f t="shared" si="1"/>
        <v>0</v>
      </c>
      <c r="C39" s="1"/>
    </row>
    <row r="40" spans="1:3" x14ac:dyDescent="0.15">
      <c r="A40" t="str">
        <f t="shared" si="0"/>
        <v>小</v>
      </c>
      <c r="B40">
        <f t="shared" si="1"/>
        <v>16</v>
      </c>
      <c r="C40" s="2" t="s">
        <v>3698</v>
      </c>
    </row>
    <row r="41" spans="1:3" hidden="1" x14ac:dyDescent="0.15">
      <c r="A41" t="str">
        <f t="shared" si="0"/>
        <v/>
      </c>
      <c r="B41">
        <f t="shared" si="1"/>
        <v>0</v>
      </c>
      <c r="C41" s="1"/>
    </row>
    <row r="42" spans="1:3" hidden="1" x14ac:dyDescent="0.15">
      <c r="A42" t="str">
        <f t="shared" si="0"/>
        <v>0</v>
      </c>
      <c r="B42">
        <f t="shared" si="1"/>
        <v>12</v>
      </c>
      <c r="C42" s="59" t="s">
        <v>3699</v>
      </c>
    </row>
    <row r="43" spans="1:3" hidden="1" x14ac:dyDescent="0.15">
      <c r="A43" t="str">
        <f t="shared" si="0"/>
        <v/>
      </c>
      <c r="B43">
        <f t="shared" si="1"/>
        <v>0</v>
      </c>
      <c r="C43" s="1"/>
    </row>
    <row r="44" spans="1:3" x14ac:dyDescent="0.15">
      <c r="A44" t="str">
        <f t="shared" si="0"/>
        <v>陸</v>
      </c>
      <c r="B44">
        <f t="shared" si="1"/>
        <v>14</v>
      </c>
      <c r="C44" s="2" t="s">
        <v>3700</v>
      </c>
    </row>
    <row r="45" spans="1:3" hidden="1" x14ac:dyDescent="0.15">
      <c r="A45" t="str">
        <f t="shared" si="0"/>
        <v/>
      </c>
      <c r="B45">
        <f t="shared" si="1"/>
        <v>0</v>
      </c>
      <c r="C45" s="1"/>
    </row>
    <row r="46" spans="1:3" hidden="1" x14ac:dyDescent="0.15">
      <c r="A46" t="str">
        <f t="shared" si="0"/>
        <v>0</v>
      </c>
      <c r="B46">
        <f t="shared" si="1"/>
        <v>12</v>
      </c>
      <c r="C46" s="59" t="s">
        <v>3701</v>
      </c>
    </row>
    <row r="47" spans="1:3" hidden="1" x14ac:dyDescent="0.15">
      <c r="A47" t="str">
        <f t="shared" si="0"/>
        <v/>
      </c>
      <c r="B47">
        <f t="shared" si="1"/>
        <v>0</v>
      </c>
      <c r="C47" s="1"/>
    </row>
    <row r="48" spans="1:3" x14ac:dyDescent="0.15">
      <c r="A48" t="str">
        <f t="shared" si="0"/>
        <v>人</v>
      </c>
      <c r="B48">
        <f t="shared" si="1"/>
        <v>13</v>
      </c>
      <c r="C48" s="2" t="s">
        <v>3702</v>
      </c>
    </row>
    <row r="49" spans="1:9" hidden="1" x14ac:dyDescent="0.15">
      <c r="A49" t="str">
        <f t="shared" si="0"/>
        <v/>
      </c>
      <c r="B49">
        <f t="shared" si="1"/>
        <v>0</v>
      </c>
      <c r="C49" s="1"/>
    </row>
    <row r="50" spans="1:9" hidden="1" x14ac:dyDescent="0.15">
      <c r="A50" t="str">
        <f t="shared" si="0"/>
        <v>0</v>
      </c>
      <c r="B50">
        <f t="shared" si="1"/>
        <v>12</v>
      </c>
      <c r="C50" s="59" t="s">
        <v>3685</v>
      </c>
    </row>
    <row r="51" spans="1:9" hidden="1" x14ac:dyDescent="0.15">
      <c r="A51" t="str">
        <f t="shared" si="0"/>
        <v/>
      </c>
      <c r="B51">
        <f t="shared" si="1"/>
        <v>0</v>
      </c>
      <c r="C51" s="1"/>
    </row>
    <row r="52" spans="1:9" x14ac:dyDescent="0.15">
      <c r="A52" t="str">
        <f t="shared" si="0"/>
        <v>產</v>
      </c>
      <c r="B52">
        <f t="shared" si="1"/>
        <v>14</v>
      </c>
      <c r="C52" s="2" t="s">
        <v>3703</v>
      </c>
    </row>
    <row r="53" spans="1:9" hidden="1" x14ac:dyDescent="0.15">
      <c r="A53" t="str">
        <f t="shared" si="0"/>
        <v/>
      </c>
      <c r="B53">
        <f t="shared" si="1"/>
        <v>0</v>
      </c>
      <c r="C53" s="1"/>
    </row>
    <row r="54" spans="1:9" hidden="1" x14ac:dyDescent="0.15">
      <c r="A54" t="str">
        <f t="shared" si="0"/>
        <v>0</v>
      </c>
      <c r="B54">
        <f t="shared" si="1"/>
        <v>11</v>
      </c>
      <c r="C54" s="59" t="s">
        <v>3704</v>
      </c>
    </row>
    <row r="55" spans="1:9" hidden="1" x14ac:dyDescent="0.15">
      <c r="A55" t="str">
        <f t="shared" si="0"/>
        <v/>
      </c>
      <c r="B55">
        <f t="shared" si="1"/>
        <v>0</v>
      </c>
      <c r="C55" s="1"/>
    </row>
    <row r="56" spans="1:9" hidden="1" x14ac:dyDescent="0.15">
      <c r="A56" t="str">
        <f t="shared" si="0"/>
        <v>大</v>
      </c>
      <c r="B56">
        <f t="shared" si="1"/>
        <v>12</v>
      </c>
      <c r="C56" s="2" t="s">
        <v>3705</v>
      </c>
    </row>
    <row r="57" spans="1:9" hidden="1" x14ac:dyDescent="0.15">
      <c r="A57" t="str">
        <f t="shared" si="0"/>
        <v/>
      </c>
      <c r="B57">
        <f t="shared" si="1"/>
        <v>0</v>
      </c>
      <c r="C57" s="1"/>
    </row>
    <row r="58" spans="1:9" hidden="1" x14ac:dyDescent="0.15">
      <c r="A58" t="str">
        <f t="shared" si="0"/>
        <v>0</v>
      </c>
      <c r="B58">
        <f t="shared" si="1"/>
        <v>12</v>
      </c>
      <c r="C58" s="59" t="s">
        <v>3706</v>
      </c>
    </row>
    <row r="59" spans="1:9" hidden="1" x14ac:dyDescent="0.15">
      <c r="A59" t="str">
        <f t="shared" si="0"/>
        <v/>
      </c>
      <c r="B59">
        <f t="shared" si="1"/>
        <v>0</v>
      </c>
      <c r="C59" s="1"/>
    </row>
    <row r="60" spans="1:9" x14ac:dyDescent="0.15">
      <c r="A60" t="str">
        <f t="shared" si="0"/>
        <v>春</v>
      </c>
      <c r="B60">
        <f t="shared" si="1"/>
        <v>17</v>
      </c>
      <c r="C60" s="2" t="s">
        <v>3707</v>
      </c>
      <c r="I60" t="str">
        <f>TRIM(C60)</f>
        <v>春燕未到 台PMI、NMI雙創新低</v>
      </c>
    </row>
    <row r="61" spans="1:9" hidden="1" x14ac:dyDescent="0.15">
      <c r="A61" t="str">
        <f t="shared" si="0"/>
        <v/>
      </c>
      <c r="B61">
        <f t="shared" si="1"/>
        <v>0</v>
      </c>
      <c r="C61" s="1"/>
    </row>
    <row r="62" spans="1:9" hidden="1" x14ac:dyDescent="0.15">
      <c r="A62" t="str">
        <f t="shared" si="0"/>
        <v>0</v>
      </c>
      <c r="B62">
        <f t="shared" si="1"/>
        <v>12</v>
      </c>
      <c r="C62" s="59" t="s">
        <v>3708</v>
      </c>
    </row>
    <row r="63" spans="1:9" hidden="1" x14ac:dyDescent="0.15">
      <c r="A63" t="str">
        <f t="shared" si="0"/>
        <v/>
      </c>
      <c r="B63">
        <f t="shared" si="1"/>
        <v>0</v>
      </c>
      <c r="C63" s="1"/>
    </row>
    <row r="64" spans="1:9" x14ac:dyDescent="0.15">
      <c r="A64" t="str">
        <f t="shared" si="0"/>
        <v>東</v>
      </c>
      <c r="B64">
        <f t="shared" si="1"/>
        <v>14</v>
      </c>
      <c r="C64" s="2" t="s">
        <v>3709</v>
      </c>
    </row>
    <row r="65" spans="1:3" hidden="1" x14ac:dyDescent="0.15">
      <c r="A65" t="str">
        <f t="shared" si="0"/>
        <v/>
      </c>
      <c r="B65">
        <f t="shared" si="1"/>
        <v>0</v>
      </c>
      <c r="C65" s="1"/>
    </row>
    <row r="66" spans="1:3" hidden="1" x14ac:dyDescent="0.15">
      <c r="A66" t="str">
        <f t="shared" si="0"/>
        <v>0</v>
      </c>
      <c r="B66">
        <f t="shared" si="1"/>
        <v>12</v>
      </c>
      <c r="C66" s="59" t="s">
        <v>3710</v>
      </c>
    </row>
    <row r="67" spans="1:3" hidden="1" x14ac:dyDescent="0.15">
      <c r="A67" t="str">
        <f t="shared" ref="A67:A130" si="2">LEFT(C67)</f>
        <v/>
      </c>
      <c r="B67">
        <f t="shared" ref="B67:B130" si="3">LEN(C67)</f>
        <v>0</v>
      </c>
      <c r="C67" s="1"/>
    </row>
    <row r="68" spans="1:3" x14ac:dyDescent="0.15">
      <c r="A68" t="str">
        <f t="shared" si="2"/>
        <v>旺</v>
      </c>
      <c r="B68">
        <f t="shared" si="3"/>
        <v>16</v>
      </c>
      <c r="C68" s="2" t="s">
        <v>3711</v>
      </c>
    </row>
    <row r="69" spans="1:3" hidden="1" x14ac:dyDescent="0.15">
      <c r="A69" t="str">
        <f t="shared" si="2"/>
        <v/>
      </c>
      <c r="B69">
        <f t="shared" si="3"/>
        <v>0</v>
      </c>
      <c r="C69" s="1"/>
    </row>
    <row r="70" spans="1:3" hidden="1" x14ac:dyDescent="0.15">
      <c r="A70" t="str">
        <f t="shared" si="2"/>
        <v>0</v>
      </c>
      <c r="B70">
        <f t="shared" si="3"/>
        <v>11</v>
      </c>
      <c r="C70" s="59" t="s">
        <v>3712</v>
      </c>
    </row>
    <row r="71" spans="1:3" hidden="1" x14ac:dyDescent="0.15">
      <c r="A71" t="str">
        <f t="shared" si="2"/>
        <v/>
      </c>
      <c r="B71">
        <f t="shared" si="3"/>
        <v>0</v>
      </c>
      <c r="C71" s="1"/>
    </row>
    <row r="72" spans="1:3" x14ac:dyDescent="0.15">
      <c r="A72" t="str">
        <f t="shared" si="2"/>
        <v>台</v>
      </c>
      <c r="B72">
        <f t="shared" si="3"/>
        <v>15</v>
      </c>
      <c r="C72" s="2" t="s">
        <v>3713</v>
      </c>
    </row>
    <row r="73" spans="1:3" hidden="1" x14ac:dyDescent="0.15">
      <c r="A73" t="str">
        <f t="shared" si="2"/>
        <v/>
      </c>
      <c r="B73">
        <f t="shared" si="3"/>
        <v>0</v>
      </c>
      <c r="C73" s="1"/>
    </row>
    <row r="74" spans="1:3" hidden="1" x14ac:dyDescent="0.15">
      <c r="A74" t="str">
        <f t="shared" si="2"/>
        <v>0</v>
      </c>
      <c r="B74">
        <f t="shared" si="3"/>
        <v>12</v>
      </c>
      <c r="C74" s="59" t="s">
        <v>3714</v>
      </c>
    </row>
    <row r="75" spans="1:3" hidden="1" x14ac:dyDescent="0.15">
      <c r="A75" t="str">
        <f t="shared" si="2"/>
        <v/>
      </c>
      <c r="B75">
        <f t="shared" si="3"/>
        <v>0</v>
      </c>
      <c r="C75" s="1"/>
    </row>
    <row r="76" spans="1:3" x14ac:dyDescent="0.15">
      <c r="A76" t="str">
        <f t="shared" si="2"/>
        <v>台</v>
      </c>
      <c r="B76">
        <f t="shared" si="3"/>
        <v>16</v>
      </c>
      <c r="C76" s="2" t="s">
        <v>3715</v>
      </c>
    </row>
    <row r="77" spans="1:3" hidden="1" x14ac:dyDescent="0.15">
      <c r="A77" t="str">
        <f t="shared" si="2"/>
        <v/>
      </c>
      <c r="B77">
        <f t="shared" si="3"/>
        <v>0</v>
      </c>
      <c r="C77" s="1"/>
    </row>
    <row r="78" spans="1:3" hidden="1" x14ac:dyDescent="0.15">
      <c r="A78" t="str">
        <f t="shared" si="2"/>
        <v>0</v>
      </c>
      <c r="B78">
        <f t="shared" si="3"/>
        <v>11</v>
      </c>
      <c r="C78" s="59" t="s">
        <v>3716</v>
      </c>
    </row>
    <row r="79" spans="1:3" hidden="1" x14ac:dyDescent="0.15">
      <c r="A79" t="str">
        <f t="shared" si="2"/>
        <v/>
      </c>
      <c r="B79">
        <f t="shared" si="3"/>
        <v>0</v>
      </c>
      <c r="C79" s="1"/>
    </row>
    <row r="80" spans="1:3" x14ac:dyDescent="0.15">
      <c r="A80" t="str">
        <f t="shared" si="2"/>
        <v>宏</v>
      </c>
      <c r="B80">
        <f t="shared" si="3"/>
        <v>16</v>
      </c>
      <c r="C80" s="2" t="s">
        <v>3717</v>
      </c>
    </row>
    <row r="81" spans="1:3" hidden="1" x14ac:dyDescent="0.15">
      <c r="A81" t="str">
        <f t="shared" si="2"/>
        <v/>
      </c>
      <c r="B81">
        <f t="shared" si="3"/>
        <v>0</v>
      </c>
      <c r="C81" s="1"/>
    </row>
    <row r="82" spans="1:3" hidden="1" x14ac:dyDescent="0.15">
      <c r="A82" t="str">
        <f t="shared" si="2"/>
        <v>0</v>
      </c>
      <c r="B82">
        <f t="shared" si="3"/>
        <v>11</v>
      </c>
      <c r="C82" s="59" t="s">
        <v>3718</v>
      </c>
    </row>
    <row r="83" spans="1:3" hidden="1" x14ac:dyDescent="0.15">
      <c r="A83" t="str">
        <f t="shared" si="2"/>
        <v/>
      </c>
      <c r="B83">
        <f t="shared" si="3"/>
        <v>0</v>
      </c>
      <c r="C83" s="1"/>
    </row>
    <row r="84" spans="1:3" x14ac:dyDescent="0.15">
      <c r="A84" t="str">
        <f t="shared" si="2"/>
        <v>超</v>
      </c>
      <c r="B84">
        <f t="shared" si="3"/>
        <v>18</v>
      </c>
      <c r="C84" s="2" t="s">
        <v>3719</v>
      </c>
    </row>
    <row r="85" spans="1:3" hidden="1" x14ac:dyDescent="0.15">
      <c r="A85" t="str">
        <f t="shared" si="2"/>
        <v/>
      </c>
      <c r="B85">
        <f t="shared" si="3"/>
        <v>0</v>
      </c>
      <c r="C85" s="1"/>
    </row>
    <row r="86" spans="1:3" hidden="1" x14ac:dyDescent="0.15">
      <c r="A86" t="str">
        <f t="shared" si="2"/>
        <v>0</v>
      </c>
      <c r="B86">
        <f t="shared" si="3"/>
        <v>12</v>
      </c>
      <c r="C86" s="59" t="s">
        <v>3720</v>
      </c>
    </row>
    <row r="87" spans="1:3" hidden="1" x14ac:dyDescent="0.15">
      <c r="A87" t="str">
        <f t="shared" si="2"/>
        <v/>
      </c>
      <c r="B87">
        <f t="shared" si="3"/>
        <v>0</v>
      </c>
      <c r="C87" s="1"/>
    </row>
    <row r="88" spans="1:3" x14ac:dyDescent="0.15">
      <c r="A88" t="str">
        <f t="shared" si="2"/>
        <v>2</v>
      </c>
      <c r="B88">
        <f t="shared" si="3"/>
        <v>16</v>
      </c>
      <c r="C88" s="2" t="s">
        <v>3721</v>
      </c>
    </row>
    <row r="89" spans="1:3" hidden="1" x14ac:dyDescent="0.15">
      <c r="A89" t="str">
        <f t="shared" si="2"/>
        <v/>
      </c>
      <c r="B89">
        <f t="shared" si="3"/>
        <v>0</v>
      </c>
      <c r="C89" s="1"/>
    </row>
    <row r="90" spans="1:3" hidden="1" x14ac:dyDescent="0.15">
      <c r="A90" t="str">
        <f t="shared" si="2"/>
        <v>0</v>
      </c>
      <c r="B90">
        <f t="shared" si="3"/>
        <v>12</v>
      </c>
      <c r="C90" s="59" t="s">
        <v>3722</v>
      </c>
    </row>
    <row r="91" spans="1:3" hidden="1" x14ac:dyDescent="0.15">
      <c r="A91" t="str">
        <f t="shared" si="2"/>
        <v/>
      </c>
      <c r="B91">
        <f t="shared" si="3"/>
        <v>0</v>
      </c>
      <c r="C91" s="1"/>
    </row>
    <row r="92" spans="1:3" x14ac:dyDescent="0.15">
      <c r="A92" t="str">
        <f t="shared" si="2"/>
        <v>日</v>
      </c>
      <c r="B92">
        <f t="shared" si="3"/>
        <v>17</v>
      </c>
      <c r="C92" s="2" t="s">
        <v>3723</v>
      </c>
    </row>
    <row r="93" spans="1:3" hidden="1" x14ac:dyDescent="0.15">
      <c r="A93" t="str">
        <f t="shared" si="2"/>
        <v/>
      </c>
      <c r="B93">
        <f t="shared" si="3"/>
        <v>0</v>
      </c>
      <c r="C93" s="1"/>
    </row>
    <row r="94" spans="1:3" hidden="1" x14ac:dyDescent="0.15">
      <c r="A94" t="str">
        <f t="shared" si="2"/>
        <v>0</v>
      </c>
      <c r="B94">
        <f t="shared" si="3"/>
        <v>11</v>
      </c>
      <c r="C94" s="59" t="s">
        <v>3724</v>
      </c>
    </row>
    <row r="95" spans="1:3" hidden="1" x14ac:dyDescent="0.15">
      <c r="A95" t="str">
        <f t="shared" si="2"/>
        <v/>
      </c>
      <c r="B95">
        <f t="shared" si="3"/>
        <v>0</v>
      </c>
      <c r="C95" s="1"/>
    </row>
    <row r="96" spans="1:3" x14ac:dyDescent="0.15">
      <c r="A96" t="str">
        <f t="shared" si="2"/>
        <v>讀</v>
      </c>
      <c r="B96">
        <f t="shared" si="3"/>
        <v>15</v>
      </c>
      <c r="C96" s="2" t="s">
        <v>3725</v>
      </c>
    </row>
    <row r="97" spans="1:3" hidden="1" x14ac:dyDescent="0.15">
      <c r="A97" t="str">
        <f t="shared" si="2"/>
        <v/>
      </c>
      <c r="B97">
        <f t="shared" si="3"/>
        <v>0</v>
      </c>
      <c r="C97" s="1"/>
    </row>
    <row r="98" spans="1:3" hidden="1" x14ac:dyDescent="0.15">
      <c r="A98" t="str">
        <f t="shared" si="2"/>
        <v>0</v>
      </c>
      <c r="B98">
        <f t="shared" si="3"/>
        <v>12</v>
      </c>
      <c r="C98" s="59" t="s">
        <v>3726</v>
      </c>
    </row>
    <row r="99" spans="1:3" hidden="1" x14ac:dyDescent="0.15">
      <c r="A99" t="str">
        <f t="shared" si="2"/>
        <v/>
      </c>
      <c r="B99">
        <f t="shared" si="3"/>
        <v>0</v>
      </c>
      <c r="C99" s="1"/>
    </row>
    <row r="100" spans="1:3" x14ac:dyDescent="0.15">
      <c r="A100" t="str">
        <f t="shared" si="2"/>
        <v>編</v>
      </c>
      <c r="B100">
        <f t="shared" si="3"/>
        <v>17</v>
      </c>
      <c r="C100" s="2" t="s">
        <v>3727</v>
      </c>
    </row>
    <row r="101" spans="1:3" hidden="1" x14ac:dyDescent="0.15">
      <c r="A101" t="str">
        <f t="shared" si="2"/>
        <v/>
      </c>
      <c r="B101">
        <f t="shared" si="3"/>
        <v>0</v>
      </c>
      <c r="C101" s="1"/>
    </row>
    <row r="102" spans="1:3" hidden="1" x14ac:dyDescent="0.15">
      <c r="A102" t="str">
        <f t="shared" si="2"/>
        <v>0</v>
      </c>
      <c r="B102">
        <f t="shared" si="3"/>
        <v>12</v>
      </c>
      <c r="C102" s="59" t="s">
        <v>3728</v>
      </c>
    </row>
    <row r="103" spans="1:3" hidden="1" x14ac:dyDescent="0.15">
      <c r="A103" t="str">
        <f t="shared" si="2"/>
        <v/>
      </c>
      <c r="B103">
        <f t="shared" si="3"/>
        <v>0</v>
      </c>
      <c r="C103" s="1"/>
    </row>
    <row r="104" spans="1:3" x14ac:dyDescent="0.15">
      <c r="A104" t="str">
        <f t="shared" si="2"/>
        <v>觀</v>
      </c>
      <c r="B104">
        <f t="shared" si="3"/>
        <v>15</v>
      </c>
      <c r="C104" s="2" t="s">
        <v>3729</v>
      </c>
    </row>
    <row r="105" spans="1:3" hidden="1" x14ac:dyDescent="0.15">
      <c r="A105" t="str">
        <f t="shared" si="2"/>
        <v/>
      </c>
      <c r="B105">
        <f t="shared" si="3"/>
        <v>0</v>
      </c>
      <c r="C105" s="1"/>
    </row>
    <row r="106" spans="1:3" hidden="1" x14ac:dyDescent="0.15">
      <c r="A106" t="str">
        <f t="shared" si="2"/>
        <v>0</v>
      </c>
      <c r="B106">
        <f t="shared" si="3"/>
        <v>12</v>
      </c>
      <c r="C106" s="59" t="s">
        <v>3730</v>
      </c>
    </row>
    <row r="107" spans="1:3" hidden="1" x14ac:dyDescent="0.15">
      <c r="A107" t="str">
        <f t="shared" si="2"/>
        <v/>
      </c>
      <c r="B107">
        <f t="shared" si="3"/>
        <v>0</v>
      </c>
      <c r="C107" s="1"/>
    </row>
    <row r="108" spans="1:3" x14ac:dyDescent="0.15">
      <c r="A108" t="str">
        <f t="shared" si="2"/>
        <v>專</v>
      </c>
      <c r="B108">
        <f t="shared" si="3"/>
        <v>30</v>
      </c>
      <c r="C108" s="2" t="s">
        <v>3731</v>
      </c>
    </row>
    <row r="109" spans="1:3" hidden="1" x14ac:dyDescent="0.15">
      <c r="A109" t="str">
        <f t="shared" si="2"/>
        <v/>
      </c>
      <c r="B109">
        <f t="shared" si="3"/>
        <v>0</v>
      </c>
      <c r="C109" s="1"/>
    </row>
    <row r="110" spans="1:3" hidden="1" x14ac:dyDescent="0.15">
      <c r="A110" t="str">
        <f t="shared" si="2"/>
        <v>0</v>
      </c>
      <c r="B110">
        <f t="shared" si="3"/>
        <v>12</v>
      </c>
      <c r="C110" s="59" t="s">
        <v>3732</v>
      </c>
    </row>
    <row r="111" spans="1:3" hidden="1" x14ac:dyDescent="0.15">
      <c r="A111" t="str">
        <f t="shared" si="2"/>
        <v/>
      </c>
      <c r="B111">
        <f t="shared" si="3"/>
        <v>0</v>
      </c>
      <c r="C111" s="1"/>
    </row>
    <row r="112" spans="1:3" x14ac:dyDescent="0.15">
      <c r="A112" t="str">
        <f t="shared" si="2"/>
        <v>專</v>
      </c>
      <c r="B112">
        <f t="shared" si="3"/>
        <v>17</v>
      </c>
      <c r="C112" s="2" t="s">
        <v>3733</v>
      </c>
    </row>
    <row r="113" spans="1:3" hidden="1" x14ac:dyDescent="0.15">
      <c r="A113" t="str">
        <f t="shared" si="2"/>
        <v/>
      </c>
      <c r="B113">
        <f t="shared" si="3"/>
        <v>0</v>
      </c>
      <c r="C113" s="1"/>
    </row>
    <row r="114" spans="1:3" hidden="1" x14ac:dyDescent="0.15">
      <c r="A114" t="str">
        <f t="shared" si="2"/>
        <v>0</v>
      </c>
      <c r="B114">
        <f t="shared" si="3"/>
        <v>12</v>
      </c>
      <c r="C114" s="59" t="s">
        <v>3734</v>
      </c>
    </row>
    <row r="115" spans="1:3" hidden="1" x14ac:dyDescent="0.15">
      <c r="A115" t="str">
        <f t="shared" si="2"/>
        <v/>
      </c>
      <c r="B115">
        <f t="shared" si="3"/>
        <v>0</v>
      </c>
      <c r="C115" s="1"/>
    </row>
    <row r="116" spans="1:3" hidden="1" x14ac:dyDescent="0.15">
      <c r="A116" t="str">
        <f t="shared" si="2"/>
        <v>元</v>
      </c>
      <c r="B116">
        <f t="shared" si="3"/>
        <v>11</v>
      </c>
      <c r="C116" s="2" t="s">
        <v>3735</v>
      </c>
    </row>
    <row r="117" spans="1:3" hidden="1" x14ac:dyDescent="0.15">
      <c r="A117" t="str">
        <f t="shared" si="2"/>
        <v/>
      </c>
      <c r="B117">
        <f t="shared" si="3"/>
        <v>0</v>
      </c>
      <c r="C117" s="1"/>
    </row>
    <row r="118" spans="1:3" hidden="1" x14ac:dyDescent="0.15">
      <c r="A118" t="str">
        <f t="shared" si="2"/>
        <v>0</v>
      </c>
      <c r="B118">
        <f t="shared" si="3"/>
        <v>12</v>
      </c>
      <c r="C118" s="59" t="s">
        <v>3736</v>
      </c>
    </row>
    <row r="119" spans="1:3" hidden="1" x14ac:dyDescent="0.15">
      <c r="A119" t="str">
        <f t="shared" si="2"/>
        <v/>
      </c>
      <c r="B119">
        <f t="shared" si="3"/>
        <v>0</v>
      </c>
      <c r="C119" s="1"/>
    </row>
    <row r="120" spans="1:3" x14ac:dyDescent="0.15">
      <c r="A120" t="str">
        <f t="shared" si="2"/>
        <v>退</v>
      </c>
      <c r="B120">
        <f t="shared" si="3"/>
        <v>18</v>
      </c>
      <c r="C120" s="2" t="s">
        <v>3737</v>
      </c>
    </row>
    <row r="121" spans="1:3" hidden="1" x14ac:dyDescent="0.15">
      <c r="A121" t="str">
        <f t="shared" si="2"/>
        <v/>
      </c>
      <c r="B121">
        <f t="shared" si="3"/>
        <v>0</v>
      </c>
      <c r="C121" s="1"/>
    </row>
    <row r="122" spans="1:3" hidden="1" x14ac:dyDescent="0.15">
      <c r="A122" t="str">
        <f t="shared" si="2"/>
        <v>0</v>
      </c>
      <c r="B122">
        <f t="shared" si="3"/>
        <v>12</v>
      </c>
      <c r="C122" s="59" t="s">
        <v>3738</v>
      </c>
    </row>
    <row r="123" spans="1:3" hidden="1" x14ac:dyDescent="0.15">
      <c r="A123" t="str">
        <f t="shared" si="2"/>
        <v/>
      </c>
      <c r="B123">
        <f t="shared" si="3"/>
        <v>0</v>
      </c>
      <c r="C123" s="1"/>
    </row>
    <row r="124" spans="1:3" x14ac:dyDescent="0.15">
      <c r="A124" t="str">
        <f t="shared" si="2"/>
        <v>職</v>
      </c>
      <c r="B124">
        <f t="shared" si="3"/>
        <v>17</v>
      </c>
      <c r="C124" s="2" t="s">
        <v>3739</v>
      </c>
    </row>
    <row r="125" spans="1:3" hidden="1" x14ac:dyDescent="0.15">
      <c r="A125" t="str">
        <f t="shared" si="2"/>
        <v/>
      </c>
      <c r="B125">
        <f t="shared" si="3"/>
        <v>0</v>
      </c>
      <c r="C125" s="1"/>
    </row>
    <row r="126" spans="1:3" hidden="1" x14ac:dyDescent="0.15">
      <c r="A126" t="str">
        <f t="shared" si="2"/>
        <v>0</v>
      </c>
      <c r="B126">
        <f t="shared" si="3"/>
        <v>12</v>
      </c>
      <c r="C126" s="59" t="s">
        <v>3740</v>
      </c>
    </row>
    <row r="127" spans="1:3" hidden="1" x14ac:dyDescent="0.15">
      <c r="A127" t="str">
        <f t="shared" si="2"/>
        <v/>
      </c>
      <c r="B127">
        <f t="shared" si="3"/>
        <v>0</v>
      </c>
      <c r="C127" s="1"/>
    </row>
    <row r="128" spans="1:3" x14ac:dyDescent="0.15">
      <c r="A128" t="str">
        <f t="shared" si="2"/>
        <v>女</v>
      </c>
      <c r="B128">
        <f t="shared" si="3"/>
        <v>15</v>
      </c>
      <c r="C128" s="2" t="s">
        <v>3741</v>
      </c>
    </row>
    <row r="129" spans="1:3" hidden="1" x14ac:dyDescent="0.15">
      <c r="A129" t="str">
        <f t="shared" si="2"/>
        <v/>
      </c>
      <c r="B129">
        <f t="shared" si="3"/>
        <v>0</v>
      </c>
      <c r="C129" s="1"/>
    </row>
    <row r="130" spans="1:3" hidden="1" x14ac:dyDescent="0.15">
      <c r="A130" t="str">
        <f t="shared" si="2"/>
        <v>0</v>
      </c>
      <c r="B130">
        <f t="shared" si="3"/>
        <v>12</v>
      </c>
      <c r="C130" s="59" t="s">
        <v>3742</v>
      </c>
    </row>
    <row r="131" spans="1:3" hidden="1" x14ac:dyDescent="0.15">
      <c r="A131" t="str">
        <f t="shared" ref="A131:A171" si="4">LEFT(C131)</f>
        <v/>
      </c>
      <c r="B131">
        <f t="shared" ref="B131:B171" si="5">LEN(C131)</f>
        <v>0</v>
      </c>
      <c r="C131" s="1"/>
    </row>
    <row r="132" spans="1:3" hidden="1" x14ac:dyDescent="0.15">
      <c r="A132" t="str">
        <f t="shared" si="4"/>
        <v>第</v>
      </c>
      <c r="B132">
        <f t="shared" si="5"/>
        <v>3</v>
      </c>
      <c r="C132" s="33" t="s">
        <v>5</v>
      </c>
    </row>
    <row r="133" spans="1:3" hidden="1" x14ac:dyDescent="0.15">
      <c r="A133" t="str">
        <f t="shared" si="4"/>
        <v>上</v>
      </c>
      <c r="B133">
        <f t="shared" si="5"/>
        <v>3</v>
      </c>
      <c r="C133" s="33" t="s">
        <v>6</v>
      </c>
    </row>
    <row r="134" spans="1:3" hidden="1" x14ac:dyDescent="0.15">
      <c r="A134" t="str">
        <f t="shared" si="4"/>
        <v>1</v>
      </c>
      <c r="B134">
        <f t="shared" si="5"/>
        <v>1</v>
      </c>
      <c r="C134" s="33">
        <v>1</v>
      </c>
    </row>
    <row r="135" spans="1:3" hidden="1" x14ac:dyDescent="0.15">
      <c r="A135" t="str">
        <f t="shared" si="4"/>
        <v>2</v>
      </c>
      <c r="B135">
        <f t="shared" si="5"/>
        <v>1</v>
      </c>
      <c r="C135" s="2">
        <v>2</v>
      </c>
    </row>
    <row r="136" spans="1:3" hidden="1" x14ac:dyDescent="0.15">
      <c r="A136" t="str">
        <f t="shared" si="4"/>
        <v>3</v>
      </c>
      <c r="B136">
        <f t="shared" si="5"/>
        <v>1</v>
      </c>
      <c r="C136" s="2">
        <v>3</v>
      </c>
    </row>
    <row r="137" spans="1:3" hidden="1" x14ac:dyDescent="0.15">
      <c r="A137" t="str">
        <f t="shared" si="4"/>
        <v>4</v>
      </c>
      <c r="B137">
        <f t="shared" si="5"/>
        <v>1</v>
      </c>
      <c r="C137" s="2">
        <v>4</v>
      </c>
    </row>
    <row r="138" spans="1:3" hidden="1" x14ac:dyDescent="0.15">
      <c r="A138" t="str">
        <f t="shared" si="4"/>
        <v>5</v>
      </c>
      <c r="B138">
        <f t="shared" si="5"/>
        <v>1</v>
      </c>
      <c r="C138" s="2">
        <v>5</v>
      </c>
    </row>
    <row r="139" spans="1:3" hidden="1" x14ac:dyDescent="0.15">
      <c r="A139" t="str">
        <f t="shared" si="4"/>
        <v>6</v>
      </c>
      <c r="B139">
        <f t="shared" si="5"/>
        <v>1</v>
      </c>
      <c r="C139" s="2">
        <v>6</v>
      </c>
    </row>
    <row r="140" spans="1:3" hidden="1" x14ac:dyDescent="0.15">
      <c r="A140" t="str">
        <f t="shared" si="4"/>
        <v>7</v>
      </c>
      <c r="B140">
        <f t="shared" si="5"/>
        <v>1</v>
      </c>
      <c r="C140" s="2">
        <v>7</v>
      </c>
    </row>
    <row r="141" spans="1:3" hidden="1" x14ac:dyDescent="0.15">
      <c r="A141" t="str">
        <f t="shared" si="4"/>
        <v>8</v>
      </c>
      <c r="B141">
        <f t="shared" si="5"/>
        <v>1</v>
      </c>
      <c r="C141" s="2">
        <v>8</v>
      </c>
    </row>
    <row r="142" spans="1:3" hidden="1" x14ac:dyDescent="0.15">
      <c r="A142" t="str">
        <f t="shared" si="4"/>
        <v>9</v>
      </c>
      <c r="B142">
        <f t="shared" si="5"/>
        <v>1</v>
      </c>
      <c r="C142" s="2">
        <v>9</v>
      </c>
    </row>
    <row r="143" spans="1:3" hidden="1" x14ac:dyDescent="0.15">
      <c r="A143" t="str">
        <f t="shared" si="4"/>
        <v>1</v>
      </c>
      <c r="B143">
        <f t="shared" si="5"/>
        <v>2</v>
      </c>
      <c r="C143" s="2">
        <v>10</v>
      </c>
    </row>
    <row r="144" spans="1:3" hidden="1" x14ac:dyDescent="0.15">
      <c r="A144" t="str">
        <f t="shared" si="4"/>
        <v>下</v>
      </c>
      <c r="B144">
        <f t="shared" si="5"/>
        <v>3</v>
      </c>
      <c r="C144" s="2" t="s">
        <v>7</v>
      </c>
    </row>
    <row r="145" spans="1:3" hidden="1" x14ac:dyDescent="0.15">
      <c r="A145" t="str">
        <f t="shared" si="4"/>
        <v>最</v>
      </c>
      <c r="B145">
        <f t="shared" si="5"/>
        <v>4</v>
      </c>
      <c r="C145" s="2" t="s">
        <v>8</v>
      </c>
    </row>
    <row r="146" spans="1:3" hidden="1" x14ac:dyDescent="0.15">
      <c r="A146" t="str">
        <f t="shared" si="4"/>
        <v/>
      </c>
      <c r="B146">
        <f t="shared" si="5"/>
        <v>0</v>
      </c>
    </row>
    <row r="147" spans="1:3" x14ac:dyDescent="0.15">
      <c r="A147" t="str">
        <f t="shared" si="4"/>
        <v>原</v>
      </c>
      <c r="B147">
        <f t="shared" si="5"/>
        <v>18</v>
      </c>
      <c r="C147" s="4" t="s">
        <v>3743</v>
      </c>
    </row>
    <row r="148" spans="1:3" hidden="1" x14ac:dyDescent="0.15">
      <c r="A148" t="str">
        <f t="shared" si="4"/>
        <v/>
      </c>
      <c r="B148">
        <f t="shared" si="5"/>
        <v>0</v>
      </c>
      <c r="C148" s="3"/>
    </row>
    <row r="149" spans="1:3" x14ac:dyDescent="0.15">
      <c r="A149" t="str">
        <f t="shared" si="4"/>
        <v>以</v>
      </c>
      <c r="B149">
        <f t="shared" si="5"/>
        <v>892</v>
      </c>
      <c r="C149" s="34" t="s">
        <v>3744</v>
      </c>
    </row>
    <row r="150" spans="1:3" hidden="1" x14ac:dyDescent="0.15">
      <c r="A150" t="str">
        <f t="shared" si="4"/>
        <v/>
      </c>
      <c r="B150">
        <f t="shared" si="5"/>
        <v>0</v>
      </c>
    </row>
    <row r="151" spans="1:3" x14ac:dyDescent="0.15">
      <c r="A151" t="str">
        <f t="shared" si="4"/>
        <v>油</v>
      </c>
      <c r="B151">
        <f t="shared" si="5"/>
        <v>16</v>
      </c>
      <c r="C151" s="5" t="s">
        <v>3745</v>
      </c>
    </row>
    <row r="152" spans="1:3" hidden="1" x14ac:dyDescent="0.15">
      <c r="A152" t="str">
        <f t="shared" si="4"/>
        <v/>
      </c>
      <c r="B152">
        <f t="shared" si="5"/>
        <v>0</v>
      </c>
    </row>
    <row r="153" spans="1:3" x14ac:dyDescent="0.15">
      <c r="A153" t="str">
        <f t="shared" si="4"/>
        <v>油</v>
      </c>
      <c r="B153">
        <f t="shared" si="5"/>
        <v>16</v>
      </c>
      <c r="C153" s="4" t="s">
        <v>3745</v>
      </c>
    </row>
    <row r="154" spans="1:3" hidden="1" x14ac:dyDescent="0.15">
      <c r="A154" t="str">
        <f t="shared" si="4"/>
        <v/>
      </c>
      <c r="B154">
        <f t="shared" si="5"/>
        <v>0</v>
      </c>
    </row>
    <row r="155" spans="1:3" hidden="1" x14ac:dyDescent="0.15">
      <c r="A155" t="str">
        <f t="shared" si="4"/>
        <v>最</v>
      </c>
      <c r="B155">
        <f t="shared" si="5"/>
        <v>6</v>
      </c>
      <c r="C155" s="25" t="s">
        <v>9</v>
      </c>
    </row>
    <row r="156" spans="1:3" hidden="1" x14ac:dyDescent="0.15">
      <c r="A156" t="str">
        <f t="shared" si="4"/>
        <v/>
      </c>
      <c r="B156">
        <f t="shared" si="5"/>
        <v>0</v>
      </c>
      <c r="C156" s="1"/>
    </row>
    <row r="157" spans="1:3" hidden="1" x14ac:dyDescent="0.15">
      <c r="A157" t="str">
        <f t="shared" si="4"/>
        <v>1</v>
      </c>
      <c r="B157">
        <f t="shared" si="5"/>
        <v>5</v>
      </c>
      <c r="C157" s="35">
        <v>17099</v>
      </c>
    </row>
    <row r="158" spans="1:3" x14ac:dyDescent="0.15">
      <c r="A158" t="str">
        <f t="shared" si="4"/>
        <v>兆</v>
      </c>
      <c r="B158">
        <f t="shared" si="5"/>
        <v>27</v>
      </c>
      <c r="C158" s="2" t="s">
        <v>3746</v>
      </c>
    </row>
    <row r="159" spans="1:3" hidden="1" x14ac:dyDescent="0.15">
      <c r="A159" t="str">
        <f t="shared" si="4"/>
        <v>4</v>
      </c>
      <c r="B159">
        <f t="shared" si="5"/>
        <v>4</v>
      </c>
      <c r="C159" s="35">
        <v>4368</v>
      </c>
    </row>
    <row r="160" spans="1:3" hidden="1" x14ac:dyDescent="0.15">
      <c r="A160" t="str">
        <f t="shared" si="4"/>
        <v>汽</v>
      </c>
      <c r="B160">
        <f t="shared" si="5"/>
        <v>12</v>
      </c>
      <c r="C160" s="2" t="s">
        <v>3747</v>
      </c>
    </row>
    <row r="161" spans="1:3" hidden="1" x14ac:dyDescent="0.15">
      <c r="A161" t="str">
        <f t="shared" si="4"/>
        <v>3</v>
      </c>
      <c r="B161">
        <f t="shared" si="5"/>
        <v>4</v>
      </c>
      <c r="C161" s="35">
        <v>3943</v>
      </c>
    </row>
    <row r="162" spans="1:3" hidden="1" x14ac:dyDescent="0.15">
      <c r="A162" t="str">
        <f t="shared" si="4"/>
        <v>油</v>
      </c>
      <c r="B162">
        <f t="shared" si="5"/>
        <v>12</v>
      </c>
      <c r="C162" s="2" t="s">
        <v>3748</v>
      </c>
    </row>
    <row r="163" spans="1:3" hidden="1" x14ac:dyDescent="0.15">
      <c r="A163" t="str">
        <f t="shared" si="4"/>
        <v>3</v>
      </c>
      <c r="B163">
        <f t="shared" si="5"/>
        <v>4</v>
      </c>
      <c r="C163" s="35">
        <v>3788</v>
      </c>
    </row>
    <row r="164" spans="1:3" hidden="1" x14ac:dyDescent="0.15">
      <c r="A164" t="str">
        <f t="shared" si="4"/>
        <v>國</v>
      </c>
      <c r="B164">
        <f t="shared" si="5"/>
        <v>11</v>
      </c>
      <c r="C164" s="2" t="s">
        <v>3749</v>
      </c>
    </row>
    <row r="165" spans="1:3" hidden="1" x14ac:dyDescent="0.15">
      <c r="A165" t="str">
        <f t="shared" si="4"/>
        <v>3</v>
      </c>
      <c r="B165">
        <f t="shared" si="5"/>
        <v>4</v>
      </c>
      <c r="C165" s="35">
        <v>3703</v>
      </c>
    </row>
    <row r="166" spans="1:3" x14ac:dyDescent="0.15">
      <c r="A166" t="str">
        <f t="shared" si="4"/>
        <v>社</v>
      </c>
      <c r="B166">
        <f t="shared" si="5"/>
        <v>18</v>
      </c>
      <c r="C166" s="2" t="s">
        <v>3750</v>
      </c>
    </row>
    <row r="167" spans="1:3" hidden="1" x14ac:dyDescent="0.15">
      <c r="A167" t="str">
        <f t="shared" si="4"/>
        <v/>
      </c>
      <c r="B167">
        <f t="shared" si="5"/>
        <v>0</v>
      </c>
      <c r="C167" s="3"/>
    </row>
    <row r="168" spans="1:3" hidden="1" x14ac:dyDescent="0.15">
      <c r="A168" t="str">
        <f t="shared" si="4"/>
        <v>你</v>
      </c>
      <c r="B168">
        <f t="shared" si="5"/>
        <v>10</v>
      </c>
      <c r="C168" s="25" t="s">
        <v>3439</v>
      </c>
    </row>
    <row r="169" spans="1:3" hidden="1" x14ac:dyDescent="0.15">
      <c r="A169" t="str">
        <f t="shared" si="4"/>
        <v/>
      </c>
      <c r="B169">
        <f t="shared" si="5"/>
        <v>0</v>
      </c>
    </row>
    <row r="170" spans="1:3" hidden="1" x14ac:dyDescent="0.15">
      <c r="A170" t="str">
        <f t="shared" si="4"/>
        <v>中</v>
      </c>
      <c r="B170">
        <f t="shared" si="5"/>
        <v>5</v>
      </c>
      <c r="C170" s="2" t="s">
        <v>3440</v>
      </c>
    </row>
    <row r="171" spans="1:3" hidden="1" x14ac:dyDescent="0.15">
      <c r="A171" t="str">
        <f t="shared" si="4"/>
        <v/>
      </c>
      <c r="B171">
        <f t="shared" si="5"/>
        <v>0</v>
      </c>
    </row>
    <row r="172" spans="1:3" hidden="1" x14ac:dyDescent="0.15">
      <c r="A172" t="e">
        <f>LEFT(#REF!)</f>
        <v>#REF!</v>
      </c>
      <c r="B172" t="e">
        <f>LEN(#REF!)</f>
        <v>#REF!</v>
      </c>
      <c r="C172" s="4" t="s">
        <v>10</v>
      </c>
    </row>
    <row r="173" spans="1:3" hidden="1" x14ac:dyDescent="0.15">
      <c r="A173" t="e">
        <f>LEFT(#REF!)</f>
        <v>#REF!</v>
      </c>
      <c r="B173" t="e">
        <f>LEN(#REF!)</f>
        <v>#REF!</v>
      </c>
    </row>
    <row r="174" spans="1:3" hidden="1" x14ac:dyDescent="0.15">
      <c r="A174" t="e">
        <f>LEFT(#REF!)</f>
        <v>#REF!</v>
      </c>
      <c r="B174" t="e">
        <f>LEN(#REF!)</f>
        <v>#REF!</v>
      </c>
    </row>
    <row r="175" spans="1:3" hidden="1" x14ac:dyDescent="0.15">
      <c r="A175" t="e">
        <f>LEFT(#REF!)</f>
        <v>#REF!</v>
      </c>
      <c r="B175" t="e">
        <f>LEN(#REF!)</f>
        <v>#REF!</v>
      </c>
    </row>
    <row r="176" spans="1:3" hidden="1" x14ac:dyDescent="0.15">
      <c r="A176" t="e">
        <f>LEFT(#REF!)</f>
        <v>#REF!</v>
      </c>
      <c r="B176" t="e">
        <f>LEN(#REF!)</f>
        <v>#REF!</v>
      </c>
    </row>
    <row r="177" spans="1:2" hidden="1" x14ac:dyDescent="0.15">
      <c r="A177" t="e">
        <f>LEFT(#REF!)</f>
        <v>#REF!</v>
      </c>
      <c r="B177" t="e">
        <f>LEN(#REF!)</f>
        <v>#REF!</v>
      </c>
    </row>
    <row r="178" spans="1:2" hidden="1" x14ac:dyDescent="0.15">
      <c r="A178" t="str">
        <f t="shared" ref="A178:A194" si="6">LEFT(C172)</f>
        <v>T</v>
      </c>
      <c r="B178">
        <f t="shared" ref="B178:B194" si="7">LEN(C172)</f>
        <v>3</v>
      </c>
    </row>
    <row r="179" spans="1:2" hidden="1" x14ac:dyDescent="0.15">
      <c r="A179" t="str">
        <f t="shared" si="6"/>
        <v/>
      </c>
      <c r="B179">
        <f t="shared" si="7"/>
        <v>0</v>
      </c>
    </row>
    <row r="180" spans="1:2" hidden="1" x14ac:dyDescent="0.15">
      <c r="A180" t="str">
        <f t="shared" si="6"/>
        <v/>
      </c>
      <c r="B180">
        <f t="shared" si="7"/>
        <v>0</v>
      </c>
    </row>
    <row r="181" spans="1:2" hidden="1" x14ac:dyDescent="0.15">
      <c r="A181" t="str">
        <f t="shared" si="6"/>
        <v/>
      </c>
      <c r="B181">
        <f t="shared" si="7"/>
        <v>0</v>
      </c>
    </row>
    <row r="182" spans="1:2" hidden="1" x14ac:dyDescent="0.15">
      <c r="A182" t="str">
        <f t="shared" si="6"/>
        <v/>
      </c>
      <c r="B182">
        <f t="shared" si="7"/>
        <v>0</v>
      </c>
    </row>
    <row r="183" spans="1:2" hidden="1" x14ac:dyDescent="0.15">
      <c r="A183" t="str">
        <f t="shared" si="6"/>
        <v/>
      </c>
      <c r="B183">
        <f t="shared" si="7"/>
        <v>0</v>
      </c>
    </row>
    <row r="184" spans="1:2" hidden="1" x14ac:dyDescent="0.15">
      <c r="A184" t="str">
        <f t="shared" si="6"/>
        <v/>
      </c>
      <c r="B184">
        <f t="shared" si="7"/>
        <v>0</v>
      </c>
    </row>
    <row r="185" spans="1:2" hidden="1" x14ac:dyDescent="0.15">
      <c r="A185" t="str">
        <f t="shared" si="6"/>
        <v/>
      </c>
      <c r="B185">
        <f t="shared" si="7"/>
        <v>0</v>
      </c>
    </row>
    <row r="186" spans="1:2" hidden="1" x14ac:dyDescent="0.15">
      <c r="A186" t="str">
        <f t="shared" si="6"/>
        <v/>
      </c>
      <c r="B186">
        <f t="shared" si="7"/>
        <v>0</v>
      </c>
    </row>
    <row r="187" spans="1:2" hidden="1" x14ac:dyDescent="0.15">
      <c r="A187" t="str">
        <f t="shared" si="6"/>
        <v/>
      </c>
      <c r="B187">
        <f t="shared" si="7"/>
        <v>0</v>
      </c>
    </row>
    <row r="188" spans="1:2" hidden="1" x14ac:dyDescent="0.15">
      <c r="A188" t="str">
        <f t="shared" si="6"/>
        <v/>
      </c>
      <c r="B188">
        <f t="shared" si="7"/>
        <v>0</v>
      </c>
    </row>
    <row r="189" spans="1:2" hidden="1" x14ac:dyDescent="0.15">
      <c r="A189" t="str">
        <f t="shared" si="6"/>
        <v/>
      </c>
      <c r="B189">
        <f t="shared" si="7"/>
        <v>0</v>
      </c>
    </row>
    <row r="190" spans="1:2" hidden="1" x14ac:dyDescent="0.15">
      <c r="A190" t="str">
        <f t="shared" si="6"/>
        <v/>
      </c>
      <c r="B190">
        <f t="shared" si="7"/>
        <v>0</v>
      </c>
    </row>
    <row r="191" spans="1:2" hidden="1" x14ac:dyDescent="0.15">
      <c r="A191" t="str">
        <f t="shared" si="6"/>
        <v/>
      </c>
      <c r="B191">
        <f t="shared" si="7"/>
        <v>0</v>
      </c>
    </row>
    <row r="192" spans="1:2" hidden="1" x14ac:dyDescent="0.15">
      <c r="A192" t="str">
        <f t="shared" si="6"/>
        <v/>
      </c>
      <c r="B192">
        <f t="shared" si="7"/>
        <v>0</v>
      </c>
    </row>
    <row r="193" spans="1:2" hidden="1" x14ac:dyDescent="0.15">
      <c r="A193" t="str">
        <f t="shared" si="6"/>
        <v/>
      </c>
      <c r="B193">
        <f t="shared" si="7"/>
        <v>0</v>
      </c>
    </row>
    <row r="194" spans="1:2" hidden="1" x14ac:dyDescent="0.15">
      <c r="A194" t="str">
        <f t="shared" si="6"/>
        <v/>
      </c>
      <c r="B194">
        <f t="shared" si="7"/>
        <v>0</v>
      </c>
    </row>
    <row r="195" spans="1:2" hidden="1" x14ac:dyDescent="0.15">
      <c r="A195" t="str">
        <f t="shared" ref="A195:A258" si="8">LEFT(C189)</f>
        <v/>
      </c>
      <c r="B195">
        <f t="shared" ref="B195:B258" si="9">LEN(C189)</f>
        <v>0</v>
      </c>
    </row>
    <row r="196" spans="1:2" hidden="1" x14ac:dyDescent="0.15">
      <c r="A196" t="str">
        <f t="shared" si="8"/>
        <v/>
      </c>
      <c r="B196">
        <f t="shared" si="9"/>
        <v>0</v>
      </c>
    </row>
    <row r="197" spans="1:2" hidden="1" x14ac:dyDescent="0.15">
      <c r="A197" t="str">
        <f t="shared" si="8"/>
        <v/>
      </c>
      <c r="B197">
        <f t="shared" si="9"/>
        <v>0</v>
      </c>
    </row>
    <row r="198" spans="1:2" hidden="1" x14ac:dyDescent="0.15">
      <c r="A198" t="str">
        <f t="shared" si="8"/>
        <v/>
      </c>
      <c r="B198">
        <f t="shared" si="9"/>
        <v>0</v>
      </c>
    </row>
    <row r="199" spans="1:2" hidden="1" x14ac:dyDescent="0.15">
      <c r="A199" t="str">
        <f t="shared" si="8"/>
        <v/>
      </c>
      <c r="B199">
        <f t="shared" si="9"/>
        <v>0</v>
      </c>
    </row>
    <row r="200" spans="1:2" hidden="1" x14ac:dyDescent="0.15">
      <c r="A200" t="str">
        <f t="shared" si="8"/>
        <v/>
      </c>
      <c r="B200">
        <f t="shared" si="9"/>
        <v>0</v>
      </c>
    </row>
    <row r="201" spans="1:2" hidden="1" x14ac:dyDescent="0.15">
      <c r="A201" t="str">
        <f t="shared" si="8"/>
        <v/>
      </c>
      <c r="B201">
        <f t="shared" si="9"/>
        <v>0</v>
      </c>
    </row>
    <row r="202" spans="1:2" hidden="1" x14ac:dyDescent="0.15">
      <c r="A202" t="str">
        <f t="shared" si="8"/>
        <v/>
      </c>
      <c r="B202">
        <f t="shared" si="9"/>
        <v>0</v>
      </c>
    </row>
    <row r="203" spans="1:2" hidden="1" x14ac:dyDescent="0.15">
      <c r="A203" t="str">
        <f t="shared" si="8"/>
        <v/>
      </c>
      <c r="B203">
        <f t="shared" si="9"/>
        <v>0</v>
      </c>
    </row>
    <row r="204" spans="1:2" hidden="1" x14ac:dyDescent="0.15">
      <c r="A204" t="str">
        <f t="shared" si="8"/>
        <v/>
      </c>
      <c r="B204">
        <f t="shared" si="9"/>
        <v>0</v>
      </c>
    </row>
    <row r="205" spans="1:2" hidden="1" x14ac:dyDescent="0.15">
      <c r="A205" t="str">
        <f t="shared" si="8"/>
        <v/>
      </c>
      <c r="B205">
        <f t="shared" si="9"/>
        <v>0</v>
      </c>
    </row>
    <row r="206" spans="1:2" hidden="1" x14ac:dyDescent="0.15">
      <c r="A206" t="str">
        <f t="shared" si="8"/>
        <v/>
      </c>
      <c r="B206">
        <f t="shared" si="9"/>
        <v>0</v>
      </c>
    </row>
    <row r="207" spans="1:2" hidden="1" x14ac:dyDescent="0.15">
      <c r="A207" t="str">
        <f t="shared" si="8"/>
        <v/>
      </c>
      <c r="B207">
        <f t="shared" si="9"/>
        <v>0</v>
      </c>
    </row>
    <row r="208" spans="1:2" hidden="1" x14ac:dyDescent="0.15">
      <c r="A208" t="str">
        <f t="shared" si="8"/>
        <v/>
      </c>
      <c r="B208">
        <f t="shared" si="9"/>
        <v>0</v>
      </c>
    </row>
    <row r="209" spans="1:2" hidden="1" x14ac:dyDescent="0.15">
      <c r="A209" t="str">
        <f t="shared" si="8"/>
        <v/>
      </c>
      <c r="B209">
        <f t="shared" si="9"/>
        <v>0</v>
      </c>
    </row>
    <row r="210" spans="1:2" hidden="1" x14ac:dyDescent="0.15">
      <c r="A210" t="str">
        <f t="shared" si="8"/>
        <v/>
      </c>
      <c r="B210">
        <f t="shared" si="9"/>
        <v>0</v>
      </c>
    </row>
    <row r="211" spans="1:2" hidden="1" x14ac:dyDescent="0.15">
      <c r="A211" t="str">
        <f t="shared" si="8"/>
        <v/>
      </c>
      <c r="B211">
        <f t="shared" si="9"/>
        <v>0</v>
      </c>
    </row>
    <row r="212" spans="1:2" hidden="1" x14ac:dyDescent="0.15">
      <c r="A212" t="str">
        <f t="shared" si="8"/>
        <v/>
      </c>
      <c r="B212">
        <f t="shared" si="9"/>
        <v>0</v>
      </c>
    </row>
    <row r="213" spans="1:2" hidden="1" x14ac:dyDescent="0.15">
      <c r="A213" t="str">
        <f t="shared" si="8"/>
        <v/>
      </c>
      <c r="B213">
        <f t="shared" si="9"/>
        <v>0</v>
      </c>
    </row>
    <row r="214" spans="1:2" hidden="1" x14ac:dyDescent="0.15">
      <c r="A214" t="str">
        <f t="shared" si="8"/>
        <v/>
      </c>
      <c r="B214">
        <f t="shared" si="9"/>
        <v>0</v>
      </c>
    </row>
    <row r="215" spans="1:2" hidden="1" x14ac:dyDescent="0.15">
      <c r="A215" t="str">
        <f t="shared" si="8"/>
        <v/>
      </c>
      <c r="B215">
        <f t="shared" si="9"/>
        <v>0</v>
      </c>
    </row>
    <row r="216" spans="1:2" hidden="1" x14ac:dyDescent="0.15">
      <c r="A216" t="str">
        <f t="shared" si="8"/>
        <v/>
      </c>
      <c r="B216">
        <f t="shared" si="9"/>
        <v>0</v>
      </c>
    </row>
    <row r="217" spans="1:2" hidden="1" x14ac:dyDescent="0.15">
      <c r="A217" t="str">
        <f t="shared" si="8"/>
        <v/>
      </c>
      <c r="B217">
        <f t="shared" si="9"/>
        <v>0</v>
      </c>
    </row>
    <row r="218" spans="1:2" hidden="1" x14ac:dyDescent="0.15">
      <c r="A218" t="str">
        <f t="shared" si="8"/>
        <v/>
      </c>
      <c r="B218">
        <f t="shared" si="9"/>
        <v>0</v>
      </c>
    </row>
    <row r="219" spans="1:2" hidden="1" x14ac:dyDescent="0.15">
      <c r="A219" t="str">
        <f t="shared" si="8"/>
        <v/>
      </c>
      <c r="B219">
        <f t="shared" si="9"/>
        <v>0</v>
      </c>
    </row>
    <row r="220" spans="1:2" hidden="1" x14ac:dyDescent="0.15">
      <c r="A220" t="str">
        <f t="shared" si="8"/>
        <v/>
      </c>
      <c r="B220">
        <f t="shared" si="9"/>
        <v>0</v>
      </c>
    </row>
    <row r="221" spans="1:2" hidden="1" x14ac:dyDescent="0.15">
      <c r="A221" t="str">
        <f t="shared" si="8"/>
        <v/>
      </c>
      <c r="B221">
        <f t="shared" si="9"/>
        <v>0</v>
      </c>
    </row>
    <row r="222" spans="1:2" hidden="1" x14ac:dyDescent="0.15">
      <c r="A222" t="str">
        <f t="shared" si="8"/>
        <v/>
      </c>
      <c r="B222">
        <f t="shared" si="9"/>
        <v>0</v>
      </c>
    </row>
    <row r="223" spans="1:2" hidden="1" x14ac:dyDescent="0.15">
      <c r="A223" t="str">
        <f t="shared" si="8"/>
        <v/>
      </c>
      <c r="B223">
        <f t="shared" si="9"/>
        <v>0</v>
      </c>
    </row>
    <row r="224" spans="1:2" hidden="1" x14ac:dyDescent="0.15">
      <c r="A224" t="str">
        <f t="shared" si="8"/>
        <v/>
      </c>
      <c r="B224">
        <f t="shared" si="9"/>
        <v>0</v>
      </c>
    </row>
    <row r="225" spans="1:2" hidden="1" x14ac:dyDescent="0.15">
      <c r="A225" t="str">
        <f t="shared" si="8"/>
        <v/>
      </c>
      <c r="B225">
        <f t="shared" si="9"/>
        <v>0</v>
      </c>
    </row>
    <row r="226" spans="1:2" hidden="1" x14ac:dyDescent="0.15">
      <c r="A226" t="str">
        <f t="shared" si="8"/>
        <v/>
      </c>
      <c r="B226">
        <f t="shared" si="9"/>
        <v>0</v>
      </c>
    </row>
    <row r="227" spans="1:2" hidden="1" x14ac:dyDescent="0.15">
      <c r="A227" t="str">
        <f t="shared" si="8"/>
        <v/>
      </c>
      <c r="B227">
        <f t="shared" si="9"/>
        <v>0</v>
      </c>
    </row>
    <row r="228" spans="1:2" hidden="1" x14ac:dyDescent="0.15">
      <c r="A228" t="str">
        <f t="shared" si="8"/>
        <v/>
      </c>
      <c r="B228">
        <f t="shared" si="9"/>
        <v>0</v>
      </c>
    </row>
    <row r="229" spans="1:2" hidden="1" x14ac:dyDescent="0.15">
      <c r="A229" t="str">
        <f t="shared" si="8"/>
        <v/>
      </c>
      <c r="B229">
        <f t="shared" si="9"/>
        <v>0</v>
      </c>
    </row>
    <row r="230" spans="1:2" hidden="1" x14ac:dyDescent="0.15">
      <c r="A230" t="str">
        <f t="shared" si="8"/>
        <v/>
      </c>
      <c r="B230">
        <f t="shared" si="9"/>
        <v>0</v>
      </c>
    </row>
    <row r="231" spans="1:2" hidden="1" x14ac:dyDescent="0.15">
      <c r="A231" t="str">
        <f t="shared" si="8"/>
        <v/>
      </c>
      <c r="B231">
        <f t="shared" si="9"/>
        <v>0</v>
      </c>
    </row>
    <row r="232" spans="1:2" hidden="1" x14ac:dyDescent="0.15">
      <c r="A232" t="str">
        <f t="shared" si="8"/>
        <v/>
      </c>
      <c r="B232">
        <f t="shared" si="9"/>
        <v>0</v>
      </c>
    </row>
    <row r="233" spans="1:2" hidden="1" x14ac:dyDescent="0.15">
      <c r="A233" t="str">
        <f t="shared" si="8"/>
        <v/>
      </c>
      <c r="B233">
        <f t="shared" si="9"/>
        <v>0</v>
      </c>
    </row>
    <row r="234" spans="1:2" hidden="1" x14ac:dyDescent="0.15">
      <c r="A234" t="str">
        <f t="shared" si="8"/>
        <v/>
      </c>
      <c r="B234">
        <f t="shared" si="9"/>
        <v>0</v>
      </c>
    </row>
    <row r="235" spans="1:2" hidden="1" x14ac:dyDescent="0.15">
      <c r="A235" t="str">
        <f t="shared" si="8"/>
        <v/>
      </c>
      <c r="B235">
        <f t="shared" si="9"/>
        <v>0</v>
      </c>
    </row>
    <row r="236" spans="1:2" hidden="1" x14ac:dyDescent="0.15">
      <c r="A236" t="str">
        <f t="shared" si="8"/>
        <v/>
      </c>
      <c r="B236">
        <f t="shared" si="9"/>
        <v>0</v>
      </c>
    </row>
    <row r="237" spans="1:2" hidden="1" x14ac:dyDescent="0.15">
      <c r="A237" t="str">
        <f t="shared" si="8"/>
        <v/>
      </c>
      <c r="B237">
        <f t="shared" si="9"/>
        <v>0</v>
      </c>
    </row>
    <row r="238" spans="1:2" hidden="1" x14ac:dyDescent="0.15">
      <c r="A238" t="str">
        <f t="shared" si="8"/>
        <v/>
      </c>
      <c r="B238">
        <f t="shared" si="9"/>
        <v>0</v>
      </c>
    </row>
    <row r="239" spans="1:2" hidden="1" x14ac:dyDescent="0.15">
      <c r="A239" t="str">
        <f t="shared" si="8"/>
        <v/>
      </c>
      <c r="B239">
        <f t="shared" si="9"/>
        <v>0</v>
      </c>
    </row>
    <row r="240" spans="1:2" hidden="1" x14ac:dyDescent="0.15">
      <c r="A240" t="str">
        <f t="shared" si="8"/>
        <v/>
      </c>
      <c r="B240">
        <f t="shared" si="9"/>
        <v>0</v>
      </c>
    </row>
    <row r="241" spans="1:2" hidden="1" x14ac:dyDescent="0.15">
      <c r="A241" t="str">
        <f t="shared" si="8"/>
        <v/>
      </c>
      <c r="B241">
        <f t="shared" si="9"/>
        <v>0</v>
      </c>
    </row>
    <row r="242" spans="1:2" hidden="1" x14ac:dyDescent="0.15">
      <c r="A242" t="str">
        <f t="shared" si="8"/>
        <v/>
      </c>
      <c r="B242">
        <f t="shared" si="9"/>
        <v>0</v>
      </c>
    </row>
    <row r="243" spans="1:2" hidden="1" x14ac:dyDescent="0.15">
      <c r="A243" t="str">
        <f t="shared" si="8"/>
        <v/>
      </c>
      <c r="B243">
        <f t="shared" si="9"/>
        <v>0</v>
      </c>
    </row>
    <row r="244" spans="1:2" hidden="1" x14ac:dyDescent="0.15">
      <c r="A244" t="str">
        <f t="shared" si="8"/>
        <v/>
      </c>
      <c r="B244">
        <f t="shared" si="9"/>
        <v>0</v>
      </c>
    </row>
    <row r="245" spans="1:2" hidden="1" x14ac:dyDescent="0.15">
      <c r="A245" t="str">
        <f t="shared" si="8"/>
        <v/>
      </c>
      <c r="B245">
        <f t="shared" si="9"/>
        <v>0</v>
      </c>
    </row>
    <row r="246" spans="1:2" hidden="1" x14ac:dyDescent="0.15">
      <c r="A246" t="str">
        <f t="shared" si="8"/>
        <v/>
      </c>
      <c r="B246">
        <f t="shared" si="9"/>
        <v>0</v>
      </c>
    </row>
    <row r="247" spans="1:2" hidden="1" x14ac:dyDescent="0.15">
      <c r="A247" t="str">
        <f t="shared" si="8"/>
        <v/>
      </c>
      <c r="B247">
        <f t="shared" si="9"/>
        <v>0</v>
      </c>
    </row>
    <row r="248" spans="1:2" hidden="1" x14ac:dyDescent="0.15">
      <c r="A248" t="str">
        <f t="shared" si="8"/>
        <v/>
      </c>
      <c r="B248">
        <f t="shared" si="9"/>
        <v>0</v>
      </c>
    </row>
    <row r="249" spans="1:2" hidden="1" x14ac:dyDescent="0.15">
      <c r="A249" t="str">
        <f t="shared" si="8"/>
        <v/>
      </c>
      <c r="B249">
        <f t="shared" si="9"/>
        <v>0</v>
      </c>
    </row>
    <row r="250" spans="1:2" hidden="1" x14ac:dyDescent="0.15">
      <c r="A250" t="str">
        <f t="shared" si="8"/>
        <v/>
      </c>
      <c r="B250">
        <f t="shared" si="9"/>
        <v>0</v>
      </c>
    </row>
    <row r="251" spans="1:2" hidden="1" x14ac:dyDescent="0.15">
      <c r="A251" t="str">
        <f t="shared" si="8"/>
        <v/>
      </c>
      <c r="B251">
        <f t="shared" si="9"/>
        <v>0</v>
      </c>
    </row>
    <row r="252" spans="1:2" hidden="1" x14ac:dyDescent="0.15">
      <c r="A252" t="str">
        <f t="shared" si="8"/>
        <v/>
      </c>
      <c r="B252">
        <f t="shared" si="9"/>
        <v>0</v>
      </c>
    </row>
    <row r="253" spans="1:2" hidden="1" x14ac:dyDescent="0.15">
      <c r="A253" t="str">
        <f t="shared" si="8"/>
        <v/>
      </c>
      <c r="B253">
        <f t="shared" si="9"/>
        <v>0</v>
      </c>
    </row>
    <row r="254" spans="1:2" hidden="1" x14ac:dyDescent="0.15">
      <c r="A254" t="str">
        <f t="shared" si="8"/>
        <v/>
      </c>
      <c r="B254">
        <f t="shared" si="9"/>
        <v>0</v>
      </c>
    </row>
    <row r="255" spans="1:2" hidden="1" x14ac:dyDescent="0.15">
      <c r="A255" t="str">
        <f t="shared" si="8"/>
        <v/>
      </c>
      <c r="B255">
        <f t="shared" si="9"/>
        <v>0</v>
      </c>
    </row>
    <row r="256" spans="1:2" hidden="1" x14ac:dyDescent="0.15">
      <c r="A256" t="str">
        <f t="shared" si="8"/>
        <v/>
      </c>
      <c r="B256">
        <f t="shared" si="9"/>
        <v>0</v>
      </c>
    </row>
    <row r="257" spans="1:2" hidden="1" x14ac:dyDescent="0.15">
      <c r="A257" t="str">
        <f t="shared" si="8"/>
        <v/>
      </c>
      <c r="B257">
        <f t="shared" si="9"/>
        <v>0</v>
      </c>
    </row>
    <row r="258" spans="1:2" hidden="1" x14ac:dyDescent="0.15">
      <c r="A258" t="str">
        <f t="shared" si="8"/>
        <v/>
      </c>
      <c r="B258">
        <f t="shared" si="9"/>
        <v>0</v>
      </c>
    </row>
    <row r="259" spans="1:2" hidden="1" x14ac:dyDescent="0.15">
      <c r="A259" t="str">
        <f t="shared" ref="A259:A306" si="10">LEFT(C253)</f>
        <v/>
      </c>
      <c r="B259">
        <f t="shared" ref="B259:B306" si="11">LEN(C253)</f>
        <v>0</v>
      </c>
    </row>
    <row r="260" spans="1:2" hidden="1" x14ac:dyDescent="0.15">
      <c r="A260" t="str">
        <f t="shared" si="10"/>
        <v/>
      </c>
      <c r="B260">
        <f t="shared" si="11"/>
        <v>0</v>
      </c>
    </row>
    <row r="261" spans="1:2" hidden="1" x14ac:dyDescent="0.15">
      <c r="A261" t="str">
        <f t="shared" si="10"/>
        <v/>
      </c>
      <c r="B261">
        <f t="shared" si="11"/>
        <v>0</v>
      </c>
    </row>
    <row r="262" spans="1:2" hidden="1" x14ac:dyDescent="0.15">
      <c r="A262" t="str">
        <f t="shared" si="10"/>
        <v/>
      </c>
      <c r="B262">
        <f t="shared" si="11"/>
        <v>0</v>
      </c>
    </row>
    <row r="263" spans="1:2" hidden="1" x14ac:dyDescent="0.15">
      <c r="A263" t="str">
        <f t="shared" si="10"/>
        <v/>
      </c>
      <c r="B263">
        <f t="shared" si="11"/>
        <v>0</v>
      </c>
    </row>
    <row r="264" spans="1:2" hidden="1" x14ac:dyDescent="0.15">
      <c r="A264" t="str">
        <f t="shared" si="10"/>
        <v/>
      </c>
      <c r="B264">
        <f t="shared" si="11"/>
        <v>0</v>
      </c>
    </row>
    <row r="265" spans="1:2" hidden="1" x14ac:dyDescent="0.15">
      <c r="A265" t="str">
        <f t="shared" si="10"/>
        <v/>
      </c>
      <c r="B265">
        <f t="shared" si="11"/>
        <v>0</v>
      </c>
    </row>
    <row r="266" spans="1:2" hidden="1" x14ac:dyDescent="0.15">
      <c r="A266" t="str">
        <f t="shared" si="10"/>
        <v/>
      </c>
      <c r="B266">
        <f t="shared" si="11"/>
        <v>0</v>
      </c>
    </row>
    <row r="267" spans="1:2" hidden="1" x14ac:dyDescent="0.15">
      <c r="A267" t="str">
        <f t="shared" si="10"/>
        <v/>
      </c>
      <c r="B267">
        <f t="shared" si="11"/>
        <v>0</v>
      </c>
    </row>
    <row r="268" spans="1:2" hidden="1" x14ac:dyDescent="0.15">
      <c r="A268" t="str">
        <f t="shared" si="10"/>
        <v/>
      </c>
      <c r="B268">
        <f t="shared" si="11"/>
        <v>0</v>
      </c>
    </row>
    <row r="269" spans="1:2" hidden="1" x14ac:dyDescent="0.15">
      <c r="A269" t="str">
        <f t="shared" si="10"/>
        <v/>
      </c>
      <c r="B269">
        <f t="shared" si="11"/>
        <v>0</v>
      </c>
    </row>
    <row r="270" spans="1:2" hidden="1" x14ac:dyDescent="0.15">
      <c r="A270" t="str">
        <f t="shared" si="10"/>
        <v/>
      </c>
      <c r="B270">
        <f t="shared" si="11"/>
        <v>0</v>
      </c>
    </row>
    <row r="271" spans="1:2" hidden="1" x14ac:dyDescent="0.15">
      <c r="A271" t="str">
        <f t="shared" si="10"/>
        <v/>
      </c>
      <c r="B271">
        <f t="shared" si="11"/>
        <v>0</v>
      </c>
    </row>
    <row r="272" spans="1:2" hidden="1" x14ac:dyDescent="0.15">
      <c r="A272" t="str">
        <f t="shared" si="10"/>
        <v/>
      </c>
      <c r="B272">
        <f t="shared" si="11"/>
        <v>0</v>
      </c>
    </row>
    <row r="273" spans="1:2" hidden="1" x14ac:dyDescent="0.15">
      <c r="A273" t="str">
        <f t="shared" si="10"/>
        <v/>
      </c>
      <c r="B273">
        <f t="shared" si="11"/>
        <v>0</v>
      </c>
    </row>
    <row r="274" spans="1:2" hidden="1" x14ac:dyDescent="0.15">
      <c r="A274" t="str">
        <f t="shared" si="10"/>
        <v/>
      </c>
      <c r="B274">
        <f t="shared" si="11"/>
        <v>0</v>
      </c>
    </row>
    <row r="275" spans="1:2" hidden="1" x14ac:dyDescent="0.15">
      <c r="A275" t="str">
        <f t="shared" si="10"/>
        <v/>
      </c>
      <c r="B275">
        <f t="shared" si="11"/>
        <v>0</v>
      </c>
    </row>
    <row r="276" spans="1:2" hidden="1" x14ac:dyDescent="0.15">
      <c r="A276" t="str">
        <f t="shared" si="10"/>
        <v/>
      </c>
      <c r="B276">
        <f t="shared" si="11"/>
        <v>0</v>
      </c>
    </row>
    <row r="277" spans="1:2" hidden="1" x14ac:dyDescent="0.15">
      <c r="A277" t="str">
        <f t="shared" si="10"/>
        <v/>
      </c>
      <c r="B277">
        <f t="shared" si="11"/>
        <v>0</v>
      </c>
    </row>
    <row r="278" spans="1:2" hidden="1" x14ac:dyDescent="0.15">
      <c r="A278" t="str">
        <f t="shared" si="10"/>
        <v/>
      </c>
      <c r="B278">
        <f t="shared" si="11"/>
        <v>0</v>
      </c>
    </row>
    <row r="279" spans="1:2" hidden="1" x14ac:dyDescent="0.15">
      <c r="A279" t="str">
        <f t="shared" si="10"/>
        <v/>
      </c>
      <c r="B279">
        <f t="shared" si="11"/>
        <v>0</v>
      </c>
    </row>
    <row r="280" spans="1:2" hidden="1" x14ac:dyDescent="0.15">
      <c r="A280" t="str">
        <f t="shared" si="10"/>
        <v/>
      </c>
      <c r="B280">
        <f t="shared" si="11"/>
        <v>0</v>
      </c>
    </row>
    <row r="281" spans="1:2" hidden="1" x14ac:dyDescent="0.15">
      <c r="A281" t="str">
        <f t="shared" si="10"/>
        <v/>
      </c>
      <c r="B281">
        <f t="shared" si="11"/>
        <v>0</v>
      </c>
    </row>
    <row r="282" spans="1:2" hidden="1" x14ac:dyDescent="0.15">
      <c r="A282" t="str">
        <f t="shared" si="10"/>
        <v/>
      </c>
      <c r="B282">
        <f t="shared" si="11"/>
        <v>0</v>
      </c>
    </row>
    <row r="283" spans="1:2" hidden="1" x14ac:dyDescent="0.15">
      <c r="A283" t="str">
        <f t="shared" si="10"/>
        <v/>
      </c>
      <c r="B283">
        <f t="shared" si="11"/>
        <v>0</v>
      </c>
    </row>
    <row r="284" spans="1:2" hidden="1" x14ac:dyDescent="0.15">
      <c r="A284" t="str">
        <f t="shared" si="10"/>
        <v/>
      </c>
      <c r="B284">
        <f t="shared" si="11"/>
        <v>0</v>
      </c>
    </row>
    <row r="285" spans="1:2" hidden="1" x14ac:dyDescent="0.15">
      <c r="A285" t="str">
        <f t="shared" si="10"/>
        <v/>
      </c>
      <c r="B285">
        <f t="shared" si="11"/>
        <v>0</v>
      </c>
    </row>
    <row r="286" spans="1:2" hidden="1" x14ac:dyDescent="0.15">
      <c r="A286" t="str">
        <f t="shared" si="10"/>
        <v/>
      </c>
      <c r="B286">
        <f t="shared" si="11"/>
        <v>0</v>
      </c>
    </row>
    <row r="287" spans="1:2" hidden="1" x14ac:dyDescent="0.15">
      <c r="A287" t="str">
        <f t="shared" si="10"/>
        <v/>
      </c>
      <c r="B287">
        <f t="shared" si="11"/>
        <v>0</v>
      </c>
    </row>
    <row r="288" spans="1:2" hidden="1" x14ac:dyDescent="0.15">
      <c r="A288" t="str">
        <f t="shared" si="10"/>
        <v/>
      </c>
      <c r="B288">
        <f t="shared" si="11"/>
        <v>0</v>
      </c>
    </row>
    <row r="289" spans="1:2" hidden="1" x14ac:dyDescent="0.15">
      <c r="A289" t="str">
        <f t="shared" si="10"/>
        <v/>
      </c>
      <c r="B289">
        <f t="shared" si="11"/>
        <v>0</v>
      </c>
    </row>
    <row r="290" spans="1:2" hidden="1" x14ac:dyDescent="0.15">
      <c r="A290" t="str">
        <f t="shared" si="10"/>
        <v/>
      </c>
      <c r="B290">
        <f t="shared" si="11"/>
        <v>0</v>
      </c>
    </row>
    <row r="291" spans="1:2" hidden="1" x14ac:dyDescent="0.15">
      <c r="A291" t="str">
        <f t="shared" si="10"/>
        <v/>
      </c>
      <c r="B291">
        <f t="shared" si="11"/>
        <v>0</v>
      </c>
    </row>
    <row r="292" spans="1:2" hidden="1" x14ac:dyDescent="0.15">
      <c r="A292" t="str">
        <f t="shared" si="10"/>
        <v/>
      </c>
      <c r="B292">
        <f t="shared" si="11"/>
        <v>0</v>
      </c>
    </row>
    <row r="293" spans="1:2" hidden="1" x14ac:dyDescent="0.15">
      <c r="A293" t="str">
        <f t="shared" si="10"/>
        <v/>
      </c>
      <c r="B293">
        <f t="shared" si="11"/>
        <v>0</v>
      </c>
    </row>
    <row r="294" spans="1:2" hidden="1" x14ac:dyDescent="0.15">
      <c r="A294" t="str">
        <f t="shared" si="10"/>
        <v/>
      </c>
      <c r="B294">
        <f t="shared" si="11"/>
        <v>0</v>
      </c>
    </row>
    <row r="295" spans="1:2" hidden="1" x14ac:dyDescent="0.15">
      <c r="A295" t="str">
        <f t="shared" si="10"/>
        <v/>
      </c>
      <c r="B295">
        <f t="shared" si="11"/>
        <v>0</v>
      </c>
    </row>
    <row r="296" spans="1:2" hidden="1" x14ac:dyDescent="0.15">
      <c r="A296" t="str">
        <f t="shared" si="10"/>
        <v/>
      </c>
      <c r="B296">
        <f t="shared" si="11"/>
        <v>0</v>
      </c>
    </row>
    <row r="297" spans="1:2" hidden="1" x14ac:dyDescent="0.15">
      <c r="A297" t="str">
        <f t="shared" si="10"/>
        <v/>
      </c>
      <c r="B297">
        <f t="shared" si="11"/>
        <v>0</v>
      </c>
    </row>
    <row r="298" spans="1:2" hidden="1" x14ac:dyDescent="0.15">
      <c r="A298" t="str">
        <f t="shared" si="10"/>
        <v/>
      </c>
      <c r="B298">
        <f t="shared" si="11"/>
        <v>0</v>
      </c>
    </row>
    <row r="299" spans="1:2" hidden="1" x14ac:dyDescent="0.15">
      <c r="A299" t="str">
        <f t="shared" si="10"/>
        <v/>
      </c>
      <c r="B299">
        <f t="shared" si="11"/>
        <v>0</v>
      </c>
    </row>
    <row r="300" spans="1:2" hidden="1" x14ac:dyDescent="0.15">
      <c r="A300" t="str">
        <f t="shared" si="10"/>
        <v/>
      </c>
      <c r="B300">
        <f t="shared" si="11"/>
        <v>0</v>
      </c>
    </row>
    <row r="301" spans="1:2" hidden="1" x14ac:dyDescent="0.15">
      <c r="A301" t="str">
        <f t="shared" si="10"/>
        <v/>
      </c>
      <c r="B301">
        <f t="shared" si="11"/>
        <v>0</v>
      </c>
    </row>
    <row r="302" spans="1:2" hidden="1" x14ac:dyDescent="0.15">
      <c r="A302" t="str">
        <f t="shared" si="10"/>
        <v/>
      </c>
      <c r="B302">
        <f t="shared" si="11"/>
        <v>0</v>
      </c>
    </row>
    <row r="303" spans="1:2" hidden="1" x14ac:dyDescent="0.15">
      <c r="A303" t="str">
        <f t="shared" si="10"/>
        <v/>
      </c>
      <c r="B303">
        <f t="shared" si="11"/>
        <v>0</v>
      </c>
    </row>
    <row r="304" spans="1:2" hidden="1" x14ac:dyDescent="0.15">
      <c r="A304" t="str">
        <f t="shared" si="10"/>
        <v/>
      </c>
      <c r="B304">
        <f t="shared" si="11"/>
        <v>0</v>
      </c>
    </row>
    <row r="305" spans="1:2" hidden="1" x14ac:dyDescent="0.15">
      <c r="A305" t="str">
        <f t="shared" si="10"/>
        <v/>
      </c>
      <c r="B305">
        <f t="shared" si="11"/>
        <v>0</v>
      </c>
    </row>
    <row r="306" spans="1:2" hidden="1" x14ac:dyDescent="0.15">
      <c r="A306" t="str">
        <f t="shared" si="10"/>
        <v/>
      </c>
      <c r="B306">
        <f t="shared" si="11"/>
        <v>0</v>
      </c>
    </row>
  </sheetData>
  <autoFilter ref="A2:H306">
    <filterColumn colId="0">
      <customFilters>
        <customFilter operator="notEqual" val="*0*"/>
      </customFilters>
    </filterColumn>
    <filterColumn colId="1">
      <customFilters>
        <customFilter operator="greaterThanOrEqual" val="13"/>
      </customFilters>
    </filterColumn>
  </autoFilter>
  <phoneticPr fontId="1" type="noConversion"/>
  <hyperlinks>
    <hyperlink ref="C2" r:id="rId1" display="http://www.chinatimes.com/"/>
    <hyperlink ref="C4" r:id="rId2" display="http://www.chinatimes.com/money/"/>
    <hyperlink ref="C6" r:id="rId3" display="http://www.chinatimes.com/money/focus"/>
    <hyperlink ref="C12" r:id="rId4" display="http://www.chinatimes.com/newspapers/20160308000954-260303"/>
    <hyperlink ref="C16" r:id="rId5" display="http://www.chinatimes.com/newspapers/20160308000951-260303"/>
    <hyperlink ref="C20" r:id="rId6" display="http://www.chinatimes.com/newspapers/20160308000950-260303"/>
    <hyperlink ref="C24" r:id="rId7" display="http://www.chinatimes.com/newspapers/20160308000948-260303"/>
    <hyperlink ref="C28" r:id="rId8" display="http://www.chinatimes.com/newspapers/20160308000945-260303"/>
    <hyperlink ref="C32" r:id="rId9" display="http://www.chinatimes.com/newspapers/20160308000943-260303"/>
    <hyperlink ref="C36" r:id="rId10" display="http://www.chinatimes.com/newspapers/20160308000942-260303"/>
    <hyperlink ref="C40" r:id="rId11" display="http://www.chinatimes.com/newspapers/20160308000939-260303"/>
    <hyperlink ref="C44" r:id="rId12" display="http://www.chinatimes.com/newspapers/20160308000936-260303"/>
    <hyperlink ref="C48" r:id="rId13" display="http://www.chinatimes.com/newspapers/20160308000933-260303"/>
    <hyperlink ref="C52" r:id="rId14" display="http://www.chinatimes.com/newspapers/20160308000931-260303"/>
    <hyperlink ref="C56" r:id="rId15" display="http://www.chinatimes.com/newspapers/20160308000930-260303"/>
    <hyperlink ref="C60" r:id="rId16" display="http://www.chinatimes.com/newspapers/20160308000927-260303"/>
    <hyperlink ref="C64" r:id="rId17" display="http://www.chinatimes.com/newspapers/20160308000926-260303"/>
    <hyperlink ref="C68" r:id="rId18" display="http://www.chinatimes.com/newspapers/20160308000925-260303"/>
    <hyperlink ref="C72" r:id="rId19" display="http://www.chinatimes.com/newspapers/20160308000922-260303"/>
    <hyperlink ref="C76" r:id="rId20" display="http://www.chinatimes.com/newspapers/20160308000920-260303"/>
    <hyperlink ref="C80" r:id="rId21" display="http://www.chinatimes.com/newspapers/20160308000918-260303"/>
    <hyperlink ref="C84" r:id="rId22" display="http://www.chinatimes.com/newspapers/20160308000916-260303"/>
    <hyperlink ref="C88" r:id="rId23" display="http://www.chinatimes.com/newspapers/20160308000914-260303"/>
    <hyperlink ref="C92" r:id="rId24" display="http://www.chinatimes.com/newspapers/20160308000912-260303"/>
    <hyperlink ref="C96" r:id="rId25" display="http://www.chinatimes.com/newspapers/20160308000086-260202"/>
    <hyperlink ref="C100" r:id="rId26" display="http://www.chinatimes.com/newspapers/20160308000085-260202"/>
    <hyperlink ref="C104" r:id="rId27" display="http://www.chinatimes.com/newspapers/20160308000084-260202"/>
    <hyperlink ref="C108" r:id="rId28" display="http://www.chinatimes.com/newspapers/20160308000083-260202"/>
    <hyperlink ref="C112" r:id="rId29" display="http://www.chinatimes.com/newspapers/20160308000081-260202"/>
    <hyperlink ref="C116" r:id="rId30" display="http://www.chinatimes.com/newspapers/20160308000080-260202"/>
    <hyperlink ref="C120" r:id="rId31" display="http://www.chinatimes.com/newspapers/20160308000079-260202"/>
    <hyperlink ref="C124" r:id="rId32" display="http://www.chinatimes.com/newspapers/20160308000078-260202"/>
    <hyperlink ref="C128" r:id="rId33" display="http://www.chinatimes.com/newspapers/20160308000075-260202"/>
    <hyperlink ref="C135" r:id="rId34" display="http://www.chinatimes.com/money/focus?page=2"/>
    <hyperlink ref="C136" r:id="rId35" display="http://www.chinatimes.com/money/focus?page=3"/>
    <hyperlink ref="C137" r:id="rId36" display="http://www.chinatimes.com/money/focus?page=4"/>
    <hyperlink ref="C138" r:id="rId37" display="http://www.chinatimes.com/money/focus?page=5"/>
    <hyperlink ref="C139" r:id="rId38" display="http://www.chinatimes.com/money/focus?page=6"/>
    <hyperlink ref="C140" r:id="rId39" display="http://www.chinatimes.com/money/focus?page=7"/>
    <hyperlink ref="C141" r:id="rId40" display="http://www.chinatimes.com/money/focus?page=8"/>
    <hyperlink ref="C142" r:id="rId41" display="http://www.chinatimes.com/money/focus?page=9"/>
    <hyperlink ref="C143" r:id="rId42" display="http://www.chinatimes.com/money/focus?page=10"/>
    <hyperlink ref="C144" r:id="rId43" display="http://www.chinatimes.com/money/focus?page=2"/>
    <hyperlink ref="C145" r:id="rId44" display="http://www.chinatimes.com/money/focus?page=10"/>
    <hyperlink ref="C147" r:id="rId45" display="http://www.chinatimes.com/realtimenews/20160308001933-260410"/>
    <hyperlink ref="C151" r:id="rId46" tooltip="油價續彈！美股收漲67點 連5紅" display="http://www.chinatimes.com/realtimenews/20160308001076-260410"/>
    <hyperlink ref="C153" r:id="rId47" display="http://www.chinatimes.com/realtimenews/20160308001076-260410"/>
    <hyperlink ref="C158" r:id="rId48" display="http://www.chinatimes.com/newspapers/20160308000047-260202"/>
    <hyperlink ref="C160" r:id="rId49" display="http://www.chinatimes.com/newspapers/20160308000189-260206"/>
    <hyperlink ref="C162" r:id="rId50" display="http://www.chinatimes.com/realtimenews/20160308001076-260410"/>
    <hyperlink ref="C164" r:id="rId51" display="http://www.chinatimes.com/newspapers/20160308000060-260202"/>
    <hyperlink ref="C166" r:id="rId52" display="http://www.chinatimes.com/newspapers/20160308000043-260202"/>
    <hyperlink ref="C170" r:id="rId53" display="https://www.facebook.com/CTfans"/>
    <hyperlink ref="C172" location="top" display="top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 enableFormatConditionsCalculation="0"/>
  <dimension ref="A2:C300"/>
  <sheetViews>
    <sheetView workbookViewId="0">
      <selection activeCell="A2" sqref="A2"/>
    </sheetView>
  </sheetViews>
  <sheetFormatPr baseColWidth="10" defaultColWidth="8.83203125" defaultRowHeight="15" x14ac:dyDescent="0.15"/>
  <cols>
    <col min="3" max="3" width="8.5" customWidth="1"/>
  </cols>
  <sheetData>
    <row r="2" spans="1:3" x14ac:dyDescent="0.15">
      <c r="A2" t="str">
        <f>LEFT(C2)</f>
        <v>首</v>
      </c>
      <c r="B2">
        <f>LEN(C2)</f>
        <v>2</v>
      </c>
      <c r="C2" s="2" t="s">
        <v>0</v>
      </c>
    </row>
    <row r="3" spans="1:3" hidden="1" x14ac:dyDescent="0.15">
      <c r="A3" t="str">
        <f t="shared" ref="A3:A44" si="0">LEFT(C3)</f>
        <v/>
      </c>
      <c r="B3">
        <f t="shared" ref="B3:B66" si="1">LEN(C3)</f>
        <v>0</v>
      </c>
      <c r="C3" s="1"/>
    </row>
    <row r="4" spans="1:3" hidden="1" x14ac:dyDescent="0.15">
      <c r="A4" t="str">
        <f t="shared" si="0"/>
        <v>財</v>
      </c>
      <c r="B4">
        <f t="shared" si="1"/>
        <v>2</v>
      </c>
      <c r="C4" s="2" t="s">
        <v>1</v>
      </c>
    </row>
    <row r="5" spans="1:3" hidden="1" x14ac:dyDescent="0.15">
      <c r="A5" t="str">
        <f t="shared" si="0"/>
        <v/>
      </c>
      <c r="B5">
        <f t="shared" si="1"/>
        <v>0</v>
      </c>
      <c r="C5" s="1"/>
    </row>
    <row r="6" spans="1:3" hidden="1" x14ac:dyDescent="0.15">
      <c r="A6" t="str">
        <f t="shared" si="0"/>
        <v>證</v>
      </c>
      <c r="B6">
        <f t="shared" si="1"/>
        <v>2</v>
      </c>
      <c r="C6" s="2" t="s">
        <v>159</v>
      </c>
    </row>
    <row r="7" spans="1:3" hidden="1" x14ac:dyDescent="0.15">
      <c r="A7" t="str">
        <f t="shared" si="0"/>
        <v/>
      </c>
      <c r="B7">
        <f t="shared" si="1"/>
        <v>0</v>
      </c>
    </row>
    <row r="8" spans="1:3" ht="18" hidden="1" x14ac:dyDescent="0.15">
      <c r="A8" t="str">
        <f t="shared" si="0"/>
        <v>新</v>
      </c>
      <c r="B8">
        <f t="shared" si="1"/>
        <v>4</v>
      </c>
      <c r="C8" s="24" t="s">
        <v>3</v>
      </c>
    </row>
    <row r="9" spans="1:3" hidden="1" x14ac:dyDescent="0.15">
      <c r="A9" t="str">
        <f t="shared" si="0"/>
        <v/>
      </c>
      <c r="B9">
        <f t="shared" si="1"/>
        <v>0</v>
      </c>
      <c r="C9" s="3"/>
    </row>
    <row r="10" spans="1:3" ht="18" x14ac:dyDescent="0.15">
      <c r="A10" t="str">
        <f t="shared" si="0"/>
        <v>財</v>
      </c>
      <c r="B10">
        <f t="shared" si="1"/>
        <v>11</v>
      </c>
      <c r="C10" s="24" t="s">
        <v>160</v>
      </c>
    </row>
    <row r="11" spans="1:3" hidden="1" x14ac:dyDescent="0.15">
      <c r="A11" t="str">
        <f t="shared" si="0"/>
        <v/>
      </c>
      <c r="B11">
        <f t="shared" si="1"/>
        <v>0</v>
      </c>
      <c r="C11" s="1"/>
    </row>
    <row r="12" spans="1:3" x14ac:dyDescent="0.15">
      <c r="A12" t="str">
        <f t="shared" si="0"/>
        <v>《</v>
      </c>
      <c r="B12">
        <f t="shared" si="1"/>
        <v>24</v>
      </c>
      <c r="C12" s="2" t="s">
        <v>3751</v>
      </c>
    </row>
    <row r="13" spans="1:3" hidden="1" x14ac:dyDescent="0.15">
      <c r="A13" t="str">
        <f t="shared" si="0"/>
        <v/>
      </c>
      <c r="B13">
        <f t="shared" si="1"/>
        <v>0</v>
      </c>
      <c r="C13" s="1"/>
    </row>
    <row r="14" spans="1:3" x14ac:dyDescent="0.15">
      <c r="A14" t="str">
        <f t="shared" si="0"/>
        <v>1</v>
      </c>
      <c r="B14">
        <f t="shared" si="1"/>
        <v>11</v>
      </c>
      <c r="C14" s="59" t="s">
        <v>3752</v>
      </c>
    </row>
    <row r="15" spans="1:3" hidden="1" x14ac:dyDescent="0.15">
      <c r="A15" t="str">
        <f t="shared" si="0"/>
        <v/>
      </c>
      <c r="B15">
        <f t="shared" si="1"/>
        <v>0</v>
      </c>
      <c r="C15" s="1"/>
    </row>
    <row r="16" spans="1:3" x14ac:dyDescent="0.15">
      <c r="A16" t="str">
        <f t="shared" si="0"/>
        <v>《</v>
      </c>
      <c r="B16">
        <f t="shared" si="1"/>
        <v>26</v>
      </c>
      <c r="C16" s="2" t="s">
        <v>3753</v>
      </c>
    </row>
    <row r="17" spans="1:3" hidden="1" x14ac:dyDescent="0.15">
      <c r="A17" t="str">
        <f t="shared" si="0"/>
        <v/>
      </c>
      <c r="B17">
        <f t="shared" si="1"/>
        <v>0</v>
      </c>
      <c r="C17" s="1"/>
    </row>
    <row r="18" spans="1:3" x14ac:dyDescent="0.15">
      <c r="A18" t="str">
        <f t="shared" si="0"/>
        <v>1</v>
      </c>
      <c r="B18">
        <f t="shared" si="1"/>
        <v>11</v>
      </c>
      <c r="C18" s="59" t="s">
        <v>3754</v>
      </c>
    </row>
    <row r="19" spans="1:3" hidden="1" x14ac:dyDescent="0.15">
      <c r="A19" t="str">
        <f t="shared" si="0"/>
        <v/>
      </c>
      <c r="B19">
        <f t="shared" si="1"/>
        <v>0</v>
      </c>
      <c r="C19" s="1"/>
    </row>
    <row r="20" spans="1:3" x14ac:dyDescent="0.15">
      <c r="A20" t="str">
        <f t="shared" si="0"/>
        <v>《</v>
      </c>
      <c r="B20">
        <f t="shared" si="1"/>
        <v>21</v>
      </c>
      <c r="C20" s="2" t="s">
        <v>3755</v>
      </c>
    </row>
    <row r="21" spans="1:3" hidden="1" x14ac:dyDescent="0.15">
      <c r="A21" t="str">
        <f t="shared" si="0"/>
        <v/>
      </c>
      <c r="B21">
        <f t="shared" si="1"/>
        <v>0</v>
      </c>
      <c r="C21" s="1"/>
    </row>
    <row r="22" spans="1:3" x14ac:dyDescent="0.15">
      <c r="A22" t="str">
        <f t="shared" si="0"/>
        <v>1</v>
      </c>
      <c r="B22">
        <f t="shared" si="1"/>
        <v>11</v>
      </c>
      <c r="C22" s="59" t="s">
        <v>3756</v>
      </c>
    </row>
    <row r="23" spans="1:3" hidden="1" x14ac:dyDescent="0.15">
      <c r="A23" t="str">
        <f t="shared" si="0"/>
        <v/>
      </c>
      <c r="B23">
        <f t="shared" si="1"/>
        <v>0</v>
      </c>
      <c r="C23" s="1"/>
    </row>
    <row r="24" spans="1:3" x14ac:dyDescent="0.15">
      <c r="A24" t="str">
        <f t="shared" si="0"/>
        <v>《</v>
      </c>
      <c r="B24">
        <f t="shared" si="1"/>
        <v>28</v>
      </c>
      <c r="C24" s="2" t="s">
        <v>3757</v>
      </c>
    </row>
    <row r="25" spans="1:3" hidden="1" x14ac:dyDescent="0.15">
      <c r="A25" t="str">
        <f t="shared" si="0"/>
        <v/>
      </c>
      <c r="B25">
        <f t="shared" si="1"/>
        <v>0</v>
      </c>
      <c r="C25" s="1"/>
    </row>
    <row r="26" spans="1:3" x14ac:dyDescent="0.15">
      <c r="A26" t="str">
        <f t="shared" si="0"/>
        <v>1</v>
      </c>
      <c r="B26">
        <f t="shared" si="1"/>
        <v>11</v>
      </c>
      <c r="C26" s="59" t="s">
        <v>3758</v>
      </c>
    </row>
    <row r="27" spans="1:3" hidden="1" x14ac:dyDescent="0.15">
      <c r="A27" t="str">
        <f t="shared" si="0"/>
        <v/>
      </c>
      <c r="B27">
        <f t="shared" si="1"/>
        <v>0</v>
      </c>
      <c r="C27" s="1"/>
    </row>
    <row r="28" spans="1:3" x14ac:dyDescent="0.15">
      <c r="A28" t="str">
        <f t="shared" si="0"/>
        <v>《</v>
      </c>
      <c r="B28">
        <f t="shared" si="1"/>
        <v>28</v>
      </c>
      <c r="C28" s="2" t="s">
        <v>3759</v>
      </c>
    </row>
    <row r="29" spans="1:3" hidden="1" x14ac:dyDescent="0.15">
      <c r="A29" t="str">
        <f t="shared" si="0"/>
        <v/>
      </c>
      <c r="B29">
        <f t="shared" si="1"/>
        <v>0</v>
      </c>
      <c r="C29" s="1"/>
    </row>
    <row r="30" spans="1:3" x14ac:dyDescent="0.15">
      <c r="A30" t="str">
        <f t="shared" si="0"/>
        <v>1</v>
      </c>
      <c r="B30">
        <f t="shared" si="1"/>
        <v>11</v>
      </c>
      <c r="C30" s="59" t="s">
        <v>3758</v>
      </c>
    </row>
    <row r="31" spans="1:3" hidden="1" x14ac:dyDescent="0.15">
      <c r="A31" t="str">
        <f t="shared" si="0"/>
        <v/>
      </c>
      <c r="B31">
        <f t="shared" si="1"/>
        <v>0</v>
      </c>
      <c r="C31" s="1"/>
    </row>
    <row r="32" spans="1:3" x14ac:dyDescent="0.15">
      <c r="A32" t="str">
        <f t="shared" si="0"/>
        <v>《</v>
      </c>
      <c r="B32">
        <f t="shared" si="1"/>
        <v>29</v>
      </c>
      <c r="C32" s="2" t="s">
        <v>3760</v>
      </c>
    </row>
    <row r="33" spans="1:3" hidden="1" x14ac:dyDescent="0.15">
      <c r="A33" t="str">
        <f t="shared" si="0"/>
        <v/>
      </c>
      <c r="B33">
        <f t="shared" si="1"/>
        <v>0</v>
      </c>
      <c r="C33" s="1"/>
    </row>
    <row r="34" spans="1:3" x14ac:dyDescent="0.15">
      <c r="A34" t="str">
        <f t="shared" si="0"/>
        <v>1</v>
      </c>
      <c r="B34">
        <f t="shared" si="1"/>
        <v>11</v>
      </c>
      <c r="C34" s="59" t="s">
        <v>3761</v>
      </c>
    </row>
    <row r="35" spans="1:3" hidden="1" x14ac:dyDescent="0.15">
      <c r="A35" t="str">
        <f t="shared" si="0"/>
        <v/>
      </c>
      <c r="B35">
        <f t="shared" si="1"/>
        <v>0</v>
      </c>
      <c r="C35" s="1"/>
    </row>
    <row r="36" spans="1:3" x14ac:dyDescent="0.15">
      <c r="A36" t="str">
        <f t="shared" si="0"/>
        <v>《</v>
      </c>
      <c r="B36">
        <f t="shared" si="1"/>
        <v>14</v>
      </c>
      <c r="C36" s="2" t="s">
        <v>3762</v>
      </c>
    </row>
    <row r="37" spans="1:3" hidden="1" x14ac:dyDescent="0.15">
      <c r="A37" t="str">
        <f t="shared" si="0"/>
        <v/>
      </c>
      <c r="B37">
        <f t="shared" si="1"/>
        <v>0</v>
      </c>
      <c r="C37" s="1"/>
    </row>
    <row r="38" spans="1:3" x14ac:dyDescent="0.15">
      <c r="A38" t="str">
        <f t="shared" si="0"/>
        <v>1</v>
      </c>
      <c r="B38">
        <f t="shared" si="1"/>
        <v>11</v>
      </c>
      <c r="C38" s="59" t="s">
        <v>3763</v>
      </c>
    </row>
    <row r="39" spans="1:3" hidden="1" x14ac:dyDescent="0.15">
      <c r="A39" t="str">
        <f t="shared" si="0"/>
        <v/>
      </c>
      <c r="B39">
        <f t="shared" si="1"/>
        <v>0</v>
      </c>
      <c r="C39" s="1"/>
    </row>
    <row r="40" spans="1:3" x14ac:dyDescent="0.15">
      <c r="A40" t="str">
        <f t="shared" si="0"/>
        <v>《</v>
      </c>
      <c r="B40">
        <f t="shared" si="1"/>
        <v>30</v>
      </c>
      <c r="C40" s="2" t="s">
        <v>3764</v>
      </c>
    </row>
    <row r="41" spans="1:3" hidden="1" x14ac:dyDescent="0.15">
      <c r="A41" t="str">
        <f t="shared" si="0"/>
        <v/>
      </c>
      <c r="B41">
        <f t="shared" si="1"/>
        <v>0</v>
      </c>
      <c r="C41" s="1"/>
    </row>
    <row r="42" spans="1:3" hidden="1" x14ac:dyDescent="0.15">
      <c r="A42" t="str">
        <f t="shared" si="0"/>
        <v>0</v>
      </c>
      <c r="B42">
        <f t="shared" si="1"/>
        <v>11</v>
      </c>
      <c r="C42" s="59" t="s">
        <v>3765</v>
      </c>
    </row>
    <row r="43" spans="1:3" hidden="1" x14ac:dyDescent="0.15">
      <c r="A43" t="str">
        <f t="shared" si="0"/>
        <v/>
      </c>
      <c r="B43">
        <f t="shared" si="1"/>
        <v>0</v>
      </c>
      <c r="C43" s="1"/>
    </row>
    <row r="44" spans="1:3" x14ac:dyDescent="0.15">
      <c r="A44" t="str">
        <f t="shared" si="0"/>
        <v>《</v>
      </c>
      <c r="B44">
        <f t="shared" si="1"/>
        <v>20</v>
      </c>
      <c r="C44" s="2" t="s">
        <v>3766</v>
      </c>
    </row>
    <row r="45" spans="1:3" hidden="1" x14ac:dyDescent="0.15">
      <c r="A45" t="str">
        <f t="shared" ref="A45:A108" si="2">LEFT(C45)</f>
        <v/>
      </c>
      <c r="B45">
        <f t="shared" si="1"/>
        <v>0</v>
      </c>
      <c r="C45" s="1"/>
    </row>
    <row r="46" spans="1:3" hidden="1" x14ac:dyDescent="0.15">
      <c r="A46" t="str">
        <f t="shared" si="2"/>
        <v>0</v>
      </c>
      <c r="B46">
        <f t="shared" si="1"/>
        <v>11</v>
      </c>
      <c r="C46" s="59" t="s">
        <v>3767</v>
      </c>
    </row>
    <row r="47" spans="1:3" hidden="1" x14ac:dyDescent="0.15">
      <c r="A47" t="str">
        <f t="shared" si="2"/>
        <v/>
      </c>
      <c r="B47">
        <f t="shared" si="1"/>
        <v>0</v>
      </c>
      <c r="C47" s="1"/>
    </row>
    <row r="48" spans="1:3" x14ac:dyDescent="0.15">
      <c r="A48" t="str">
        <f t="shared" si="2"/>
        <v>《</v>
      </c>
      <c r="B48">
        <f t="shared" si="1"/>
        <v>26</v>
      </c>
      <c r="C48" s="2" t="s">
        <v>3768</v>
      </c>
    </row>
    <row r="49" spans="1:3" hidden="1" x14ac:dyDescent="0.15">
      <c r="A49" t="str">
        <f t="shared" si="2"/>
        <v/>
      </c>
      <c r="B49">
        <f t="shared" si="1"/>
        <v>0</v>
      </c>
      <c r="C49" s="1"/>
    </row>
    <row r="50" spans="1:3" hidden="1" x14ac:dyDescent="0.15">
      <c r="A50" t="str">
        <f t="shared" si="2"/>
        <v>0</v>
      </c>
      <c r="B50">
        <f t="shared" si="1"/>
        <v>11</v>
      </c>
      <c r="C50" s="59" t="s">
        <v>3769</v>
      </c>
    </row>
    <row r="51" spans="1:3" hidden="1" x14ac:dyDescent="0.15">
      <c r="A51" t="str">
        <f t="shared" si="2"/>
        <v/>
      </c>
      <c r="B51">
        <f t="shared" si="1"/>
        <v>0</v>
      </c>
      <c r="C51" s="1"/>
    </row>
    <row r="52" spans="1:3" x14ac:dyDescent="0.15">
      <c r="A52" t="str">
        <f t="shared" si="2"/>
        <v>《</v>
      </c>
      <c r="B52">
        <f t="shared" si="1"/>
        <v>26</v>
      </c>
      <c r="C52" s="2" t="s">
        <v>3770</v>
      </c>
    </row>
    <row r="53" spans="1:3" hidden="1" x14ac:dyDescent="0.15">
      <c r="A53" t="str">
        <f t="shared" si="2"/>
        <v/>
      </c>
      <c r="B53">
        <f t="shared" si="1"/>
        <v>0</v>
      </c>
      <c r="C53" s="1"/>
    </row>
    <row r="54" spans="1:3" hidden="1" x14ac:dyDescent="0.15">
      <c r="A54" t="str">
        <f t="shared" si="2"/>
        <v>0</v>
      </c>
      <c r="B54">
        <f t="shared" si="1"/>
        <v>12</v>
      </c>
      <c r="C54" s="59" t="s">
        <v>3771</v>
      </c>
    </row>
    <row r="55" spans="1:3" hidden="1" x14ac:dyDescent="0.15">
      <c r="A55" t="str">
        <f t="shared" si="2"/>
        <v/>
      </c>
      <c r="B55">
        <f t="shared" si="1"/>
        <v>0</v>
      </c>
      <c r="C55" s="1"/>
    </row>
    <row r="56" spans="1:3" x14ac:dyDescent="0.15">
      <c r="A56" t="str">
        <f t="shared" si="2"/>
        <v>《</v>
      </c>
      <c r="B56">
        <f t="shared" si="1"/>
        <v>23</v>
      </c>
      <c r="C56" s="2" t="s">
        <v>3772</v>
      </c>
    </row>
    <row r="57" spans="1:3" hidden="1" x14ac:dyDescent="0.15">
      <c r="A57" t="str">
        <f t="shared" si="2"/>
        <v/>
      </c>
      <c r="B57">
        <f t="shared" si="1"/>
        <v>0</v>
      </c>
      <c r="C57" s="1"/>
    </row>
    <row r="58" spans="1:3" hidden="1" x14ac:dyDescent="0.15">
      <c r="A58" t="str">
        <f t="shared" si="2"/>
        <v>0</v>
      </c>
      <c r="B58">
        <f t="shared" si="1"/>
        <v>11</v>
      </c>
      <c r="C58" s="59" t="s">
        <v>3773</v>
      </c>
    </row>
    <row r="59" spans="1:3" hidden="1" x14ac:dyDescent="0.15">
      <c r="A59" t="str">
        <f t="shared" si="2"/>
        <v/>
      </c>
      <c r="B59">
        <f t="shared" si="1"/>
        <v>0</v>
      </c>
      <c r="C59" s="1"/>
    </row>
    <row r="60" spans="1:3" x14ac:dyDescent="0.15">
      <c r="A60" t="str">
        <f t="shared" si="2"/>
        <v>《</v>
      </c>
      <c r="B60">
        <f t="shared" si="1"/>
        <v>24</v>
      </c>
      <c r="C60" s="2" t="s">
        <v>3774</v>
      </c>
    </row>
    <row r="61" spans="1:3" hidden="1" x14ac:dyDescent="0.15">
      <c r="A61" t="str">
        <f t="shared" si="2"/>
        <v/>
      </c>
      <c r="B61">
        <f t="shared" si="1"/>
        <v>0</v>
      </c>
      <c r="C61" s="1"/>
    </row>
    <row r="62" spans="1:3" hidden="1" x14ac:dyDescent="0.15">
      <c r="A62" t="str">
        <f t="shared" si="2"/>
        <v>0</v>
      </c>
      <c r="B62">
        <f t="shared" si="1"/>
        <v>12</v>
      </c>
      <c r="C62" s="59" t="s">
        <v>3775</v>
      </c>
    </row>
    <row r="63" spans="1:3" hidden="1" x14ac:dyDescent="0.15">
      <c r="A63" t="str">
        <f t="shared" si="2"/>
        <v/>
      </c>
      <c r="B63">
        <f t="shared" si="1"/>
        <v>0</v>
      </c>
      <c r="C63" s="1"/>
    </row>
    <row r="64" spans="1:3" x14ac:dyDescent="0.15">
      <c r="A64" t="str">
        <f t="shared" si="2"/>
        <v>《</v>
      </c>
      <c r="B64">
        <f t="shared" si="1"/>
        <v>25</v>
      </c>
      <c r="C64" s="2" t="s">
        <v>3776</v>
      </c>
    </row>
    <row r="65" spans="1:3" hidden="1" x14ac:dyDescent="0.15">
      <c r="A65" t="str">
        <f t="shared" si="2"/>
        <v/>
      </c>
      <c r="B65">
        <f t="shared" si="1"/>
        <v>0</v>
      </c>
      <c r="C65" s="1"/>
    </row>
    <row r="66" spans="1:3" hidden="1" x14ac:dyDescent="0.15">
      <c r="A66" t="str">
        <f t="shared" si="2"/>
        <v>0</v>
      </c>
      <c r="B66">
        <f t="shared" si="1"/>
        <v>11</v>
      </c>
      <c r="C66" s="59" t="s">
        <v>3777</v>
      </c>
    </row>
    <row r="67" spans="1:3" hidden="1" x14ac:dyDescent="0.15">
      <c r="A67" t="str">
        <f t="shared" si="2"/>
        <v/>
      </c>
      <c r="B67">
        <f t="shared" ref="B67:B130" si="3">LEN(C67)</f>
        <v>0</v>
      </c>
      <c r="C67" s="1"/>
    </row>
    <row r="68" spans="1:3" x14ac:dyDescent="0.15">
      <c r="A68" t="str">
        <f t="shared" si="2"/>
        <v>《</v>
      </c>
      <c r="B68">
        <f t="shared" si="3"/>
        <v>25</v>
      </c>
      <c r="C68" s="2" t="s">
        <v>3778</v>
      </c>
    </row>
    <row r="69" spans="1:3" hidden="1" x14ac:dyDescent="0.15">
      <c r="A69" t="str">
        <f t="shared" si="2"/>
        <v/>
      </c>
      <c r="B69">
        <f t="shared" si="3"/>
        <v>0</v>
      </c>
      <c r="C69" s="1"/>
    </row>
    <row r="70" spans="1:3" hidden="1" x14ac:dyDescent="0.15">
      <c r="A70" t="str">
        <f t="shared" si="2"/>
        <v>0</v>
      </c>
      <c r="B70">
        <f t="shared" si="3"/>
        <v>11</v>
      </c>
      <c r="C70" s="59" t="s">
        <v>3779</v>
      </c>
    </row>
    <row r="71" spans="1:3" hidden="1" x14ac:dyDescent="0.15">
      <c r="A71" t="str">
        <f t="shared" si="2"/>
        <v/>
      </c>
      <c r="B71">
        <f t="shared" si="3"/>
        <v>0</v>
      </c>
      <c r="C71" s="1"/>
    </row>
    <row r="72" spans="1:3" x14ac:dyDescent="0.15">
      <c r="A72" t="str">
        <f t="shared" si="2"/>
        <v>《</v>
      </c>
      <c r="B72">
        <f t="shared" si="3"/>
        <v>29</v>
      </c>
      <c r="C72" s="2" t="s">
        <v>3780</v>
      </c>
    </row>
    <row r="73" spans="1:3" hidden="1" x14ac:dyDescent="0.15">
      <c r="A73" t="str">
        <f t="shared" si="2"/>
        <v/>
      </c>
      <c r="B73">
        <f t="shared" si="3"/>
        <v>0</v>
      </c>
      <c r="C73" s="1"/>
    </row>
    <row r="74" spans="1:3" hidden="1" x14ac:dyDescent="0.15">
      <c r="A74" t="str">
        <f t="shared" si="2"/>
        <v>0</v>
      </c>
      <c r="B74">
        <f t="shared" si="3"/>
        <v>11</v>
      </c>
      <c r="C74" s="59" t="s">
        <v>3781</v>
      </c>
    </row>
    <row r="75" spans="1:3" hidden="1" x14ac:dyDescent="0.15">
      <c r="A75" t="str">
        <f t="shared" si="2"/>
        <v/>
      </c>
      <c r="B75">
        <f t="shared" si="3"/>
        <v>0</v>
      </c>
      <c r="C75" s="1"/>
    </row>
    <row r="76" spans="1:3" x14ac:dyDescent="0.15">
      <c r="A76" t="str">
        <f t="shared" si="2"/>
        <v>《</v>
      </c>
      <c r="B76">
        <f t="shared" si="3"/>
        <v>20</v>
      </c>
      <c r="C76" s="2" t="s">
        <v>3782</v>
      </c>
    </row>
    <row r="77" spans="1:3" hidden="1" x14ac:dyDescent="0.15">
      <c r="A77" t="str">
        <f t="shared" si="2"/>
        <v/>
      </c>
      <c r="B77">
        <f t="shared" si="3"/>
        <v>0</v>
      </c>
      <c r="C77" s="1"/>
    </row>
    <row r="78" spans="1:3" hidden="1" x14ac:dyDescent="0.15">
      <c r="A78" t="str">
        <f t="shared" si="2"/>
        <v>0</v>
      </c>
      <c r="B78">
        <f t="shared" si="3"/>
        <v>11</v>
      </c>
      <c r="C78" s="59" t="s">
        <v>3783</v>
      </c>
    </row>
    <row r="79" spans="1:3" hidden="1" x14ac:dyDescent="0.15">
      <c r="A79" t="str">
        <f t="shared" si="2"/>
        <v/>
      </c>
      <c r="B79">
        <f t="shared" si="3"/>
        <v>0</v>
      </c>
      <c r="C79" s="1"/>
    </row>
    <row r="80" spans="1:3" x14ac:dyDescent="0.15">
      <c r="A80" t="str">
        <f t="shared" si="2"/>
        <v>《</v>
      </c>
      <c r="B80">
        <f t="shared" si="3"/>
        <v>24</v>
      </c>
      <c r="C80" s="2" t="s">
        <v>3784</v>
      </c>
    </row>
    <row r="81" spans="1:3" hidden="1" x14ac:dyDescent="0.15">
      <c r="A81" t="str">
        <f t="shared" si="2"/>
        <v/>
      </c>
      <c r="B81">
        <f t="shared" si="3"/>
        <v>0</v>
      </c>
      <c r="C81" s="1"/>
    </row>
    <row r="82" spans="1:3" hidden="1" x14ac:dyDescent="0.15">
      <c r="A82" t="str">
        <f t="shared" si="2"/>
        <v>0</v>
      </c>
      <c r="B82">
        <f t="shared" si="3"/>
        <v>11</v>
      </c>
      <c r="C82" s="59" t="s">
        <v>3785</v>
      </c>
    </row>
    <row r="83" spans="1:3" hidden="1" x14ac:dyDescent="0.15">
      <c r="A83" t="str">
        <f t="shared" si="2"/>
        <v/>
      </c>
      <c r="B83">
        <f t="shared" si="3"/>
        <v>0</v>
      </c>
      <c r="C83" s="1"/>
    </row>
    <row r="84" spans="1:3" x14ac:dyDescent="0.15">
      <c r="A84" t="str">
        <f t="shared" si="2"/>
        <v>《</v>
      </c>
      <c r="B84">
        <f t="shared" si="3"/>
        <v>27</v>
      </c>
      <c r="C84" s="2" t="s">
        <v>3786</v>
      </c>
    </row>
    <row r="85" spans="1:3" hidden="1" x14ac:dyDescent="0.15">
      <c r="A85" t="str">
        <f t="shared" si="2"/>
        <v/>
      </c>
      <c r="B85">
        <f t="shared" si="3"/>
        <v>0</v>
      </c>
      <c r="C85" s="1"/>
    </row>
    <row r="86" spans="1:3" hidden="1" x14ac:dyDescent="0.15">
      <c r="A86" t="str">
        <f t="shared" si="2"/>
        <v>0</v>
      </c>
      <c r="B86">
        <f t="shared" si="3"/>
        <v>11</v>
      </c>
      <c r="C86" s="59" t="s">
        <v>3787</v>
      </c>
    </row>
    <row r="87" spans="1:3" hidden="1" x14ac:dyDescent="0.15">
      <c r="A87" t="str">
        <f t="shared" si="2"/>
        <v/>
      </c>
      <c r="B87">
        <f t="shared" si="3"/>
        <v>0</v>
      </c>
      <c r="C87" s="1"/>
    </row>
    <row r="88" spans="1:3" x14ac:dyDescent="0.15">
      <c r="A88" t="str">
        <f t="shared" si="2"/>
        <v>《</v>
      </c>
      <c r="B88">
        <f t="shared" si="3"/>
        <v>29</v>
      </c>
      <c r="C88" s="2" t="s">
        <v>3788</v>
      </c>
    </row>
    <row r="89" spans="1:3" hidden="1" x14ac:dyDescent="0.15">
      <c r="A89" t="str">
        <f t="shared" si="2"/>
        <v/>
      </c>
      <c r="B89">
        <f t="shared" si="3"/>
        <v>0</v>
      </c>
      <c r="C89" s="1"/>
    </row>
    <row r="90" spans="1:3" hidden="1" x14ac:dyDescent="0.15">
      <c r="A90" t="str">
        <f t="shared" si="2"/>
        <v>0</v>
      </c>
      <c r="B90">
        <f t="shared" si="3"/>
        <v>11</v>
      </c>
      <c r="C90" s="59" t="s">
        <v>3789</v>
      </c>
    </row>
    <row r="91" spans="1:3" hidden="1" x14ac:dyDescent="0.15">
      <c r="A91" t="str">
        <f t="shared" si="2"/>
        <v/>
      </c>
      <c r="B91">
        <f t="shared" si="3"/>
        <v>0</v>
      </c>
      <c r="C91" s="1"/>
    </row>
    <row r="92" spans="1:3" x14ac:dyDescent="0.15">
      <c r="A92" t="str">
        <f t="shared" si="2"/>
        <v>《</v>
      </c>
      <c r="B92">
        <f t="shared" si="3"/>
        <v>15</v>
      </c>
      <c r="C92" s="2" t="s">
        <v>3790</v>
      </c>
    </row>
    <row r="93" spans="1:3" hidden="1" x14ac:dyDescent="0.15">
      <c r="A93" t="str">
        <f t="shared" si="2"/>
        <v/>
      </c>
      <c r="B93">
        <f t="shared" si="3"/>
        <v>0</v>
      </c>
      <c r="C93" s="1"/>
    </row>
    <row r="94" spans="1:3" hidden="1" x14ac:dyDescent="0.15">
      <c r="A94" t="str">
        <f t="shared" si="2"/>
        <v>0</v>
      </c>
      <c r="B94">
        <f t="shared" si="3"/>
        <v>11</v>
      </c>
      <c r="C94" s="59" t="s">
        <v>3791</v>
      </c>
    </row>
    <row r="95" spans="1:3" hidden="1" x14ac:dyDescent="0.15">
      <c r="A95" t="str">
        <f t="shared" si="2"/>
        <v/>
      </c>
      <c r="B95">
        <f t="shared" si="3"/>
        <v>0</v>
      </c>
      <c r="C95" s="1"/>
    </row>
    <row r="96" spans="1:3" x14ac:dyDescent="0.15">
      <c r="A96" t="str">
        <f t="shared" si="2"/>
        <v>《</v>
      </c>
      <c r="B96">
        <f t="shared" si="3"/>
        <v>23</v>
      </c>
      <c r="C96" s="2" t="s">
        <v>3792</v>
      </c>
    </row>
    <row r="97" spans="1:3" hidden="1" x14ac:dyDescent="0.15">
      <c r="A97" t="str">
        <f t="shared" si="2"/>
        <v/>
      </c>
      <c r="B97">
        <f t="shared" si="3"/>
        <v>0</v>
      </c>
      <c r="C97" s="1"/>
    </row>
    <row r="98" spans="1:3" hidden="1" x14ac:dyDescent="0.15">
      <c r="A98" t="str">
        <f t="shared" si="2"/>
        <v>0</v>
      </c>
      <c r="B98">
        <f t="shared" si="3"/>
        <v>11</v>
      </c>
      <c r="C98" s="59" t="s">
        <v>3793</v>
      </c>
    </row>
    <row r="99" spans="1:3" hidden="1" x14ac:dyDescent="0.15">
      <c r="A99" t="str">
        <f t="shared" si="2"/>
        <v/>
      </c>
      <c r="B99">
        <f t="shared" si="3"/>
        <v>0</v>
      </c>
      <c r="C99" s="1"/>
    </row>
    <row r="100" spans="1:3" x14ac:dyDescent="0.15">
      <c r="A100" t="str">
        <f t="shared" si="2"/>
        <v>《</v>
      </c>
      <c r="B100">
        <f t="shared" si="3"/>
        <v>27</v>
      </c>
      <c r="C100" s="2" t="s">
        <v>3794</v>
      </c>
    </row>
    <row r="101" spans="1:3" hidden="1" x14ac:dyDescent="0.15">
      <c r="A101" t="str">
        <f t="shared" si="2"/>
        <v/>
      </c>
      <c r="B101">
        <f t="shared" si="3"/>
        <v>0</v>
      </c>
      <c r="C101" s="1"/>
    </row>
    <row r="102" spans="1:3" hidden="1" x14ac:dyDescent="0.15">
      <c r="A102" t="str">
        <f t="shared" si="2"/>
        <v>0</v>
      </c>
      <c r="B102">
        <f t="shared" si="3"/>
        <v>11</v>
      </c>
      <c r="C102" s="59" t="s">
        <v>3795</v>
      </c>
    </row>
    <row r="103" spans="1:3" hidden="1" x14ac:dyDescent="0.15">
      <c r="A103" t="str">
        <f t="shared" si="2"/>
        <v/>
      </c>
      <c r="B103">
        <f t="shared" si="3"/>
        <v>0</v>
      </c>
      <c r="C103" s="1"/>
    </row>
    <row r="104" spans="1:3" x14ac:dyDescent="0.15">
      <c r="A104" t="str">
        <f t="shared" si="2"/>
        <v>《</v>
      </c>
      <c r="B104">
        <f t="shared" si="3"/>
        <v>26</v>
      </c>
      <c r="C104" s="2" t="s">
        <v>3796</v>
      </c>
    </row>
    <row r="105" spans="1:3" hidden="1" x14ac:dyDescent="0.15">
      <c r="A105" t="str">
        <f t="shared" si="2"/>
        <v/>
      </c>
      <c r="B105">
        <f t="shared" si="3"/>
        <v>0</v>
      </c>
      <c r="C105" s="1"/>
    </row>
    <row r="106" spans="1:3" hidden="1" x14ac:dyDescent="0.15">
      <c r="A106" t="str">
        <f t="shared" si="2"/>
        <v>0</v>
      </c>
      <c r="B106">
        <f t="shared" si="3"/>
        <v>11</v>
      </c>
      <c r="C106" s="59" t="s">
        <v>3797</v>
      </c>
    </row>
    <row r="107" spans="1:3" hidden="1" x14ac:dyDescent="0.15">
      <c r="A107" t="str">
        <f t="shared" si="2"/>
        <v/>
      </c>
      <c r="B107">
        <f t="shared" si="3"/>
        <v>0</v>
      </c>
      <c r="C107" s="1"/>
    </row>
    <row r="108" spans="1:3" x14ac:dyDescent="0.15">
      <c r="A108" t="str">
        <f t="shared" si="2"/>
        <v>《</v>
      </c>
      <c r="B108">
        <f t="shared" si="3"/>
        <v>21</v>
      </c>
      <c r="C108" s="2" t="s">
        <v>3798</v>
      </c>
    </row>
    <row r="109" spans="1:3" hidden="1" x14ac:dyDescent="0.15">
      <c r="A109" t="str">
        <f t="shared" ref="A109:A171" si="4">LEFT(C109)</f>
        <v/>
      </c>
      <c r="B109">
        <f t="shared" si="3"/>
        <v>0</v>
      </c>
      <c r="C109" s="1"/>
    </row>
    <row r="110" spans="1:3" hidden="1" x14ac:dyDescent="0.15">
      <c r="A110" t="str">
        <f t="shared" si="4"/>
        <v>0</v>
      </c>
      <c r="B110">
        <f t="shared" si="3"/>
        <v>11</v>
      </c>
      <c r="C110" s="59" t="s">
        <v>3799</v>
      </c>
    </row>
    <row r="111" spans="1:3" hidden="1" x14ac:dyDescent="0.15">
      <c r="A111" t="str">
        <f t="shared" si="4"/>
        <v/>
      </c>
      <c r="B111">
        <f t="shared" si="3"/>
        <v>0</v>
      </c>
      <c r="C111" s="1"/>
    </row>
    <row r="112" spans="1:3" x14ac:dyDescent="0.15">
      <c r="A112" t="str">
        <f t="shared" si="4"/>
        <v>《</v>
      </c>
      <c r="B112">
        <f t="shared" si="3"/>
        <v>18</v>
      </c>
      <c r="C112" s="2" t="s">
        <v>3800</v>
      </c>
    </row>
    <row r="113" spans="1:3" hidden="1" x14ac:dyDescent="0.15">
      <c r="A113" t="str">
        <f t="shared" si="4"/>
        <v/>
      </c>
      <c r="B113">
        <f t="shared" si="3"/>
        <v>0</v>
      </c>
      <c r="C113" s="1"/>
    </row>
    <row r="114" spans="1:3" hidden="1" x14ac:dyDescent="0.15">
      <c r="A114" t="str">
        <f t="shared" si="4"/>
        <v>0</v>
      </c>
      <c r="B114">
        <f t="shared" si="3"/>
        <v>11</v>
      </c>
      <c r="C114" s="59" t="s">
        <v>3801</v>
      </c>
    </row>
    <row r="115" spans="1:3" hidden="1" x14ac:dyDescent="0.15">
      <c r="A115" t="str">
        <f t="shared" si="4"/>
        <v/>
      </c>
      <c r="B115">
        <f t="shared" si="3"/>
        <v>0</v>
      </c>
      <c r="C115" s="1"/>
    </row>
    <row r="116" spans="1:3" x14ac:dyDescent="0.15">
      <c r="A116" t="str">
        <f t="shared" si="4"/>
        <v>《</v>
      </c>
      <c r="B116">
        <f t="shared" si="3"/>
        <v>19</v>
      </c>
      <c r="C116" s="2" t="s">
        <v>3802</v>
      </c>
    </row>
    <row r="117" spans="1:3" hidden="1" x14ac:dyDescent="0.15">
      <c r="A117" t="str">
        <f t="shared" si="4"/>
        <v/>
      </c>
      <c r="B117">
        <f t="shared" si="3"/>
        <v>0</v>
      </c>
      <c r="C117" s="1"/>
    </row>
    <row r="118" spans="1:3" hidden="1" x14ac:dyDescent="0.15">
      <c r="A118" t="str">
        <f t="shared" si="4"/>
        <v>0</v>
      </c>
      <c r="B118">
        <f t="shared" si="3"/>
        <v>11</v>
      </c>
      <c r="C118" s="59" t="s">
        <v>3803</v>
      </c>
    </row>
    <row r="119" spans="1:3" hidden="1" x14ac:dyDescent="0.15">
      <c r="A119" t="str">
        <f t="shared" si="4"/>
        <v/>
      </c>
      <c r="B119">
        <f t="shared" si="3"/>
        <v>0</v>
      </c>
      <c r="C119" s="1"/>
    </row>
    <row r="120" spans="1:3" x14ac:dyDescent="0.15">
      <c r="A120" t="str">
        <f t="shared" si="4"/>
        <v>《</v>
      </c>
      <c r="B120">
        <f t="shared" si="3"/>
        <v>18</v>
      </c>
      <c r="C120" s="2" t="s">
        <v>3804</v>
      </c>
    </row>
    <row r="121" spans="1:3" hidden="1" x14ac:dyDescent="0.15">
      <c r="A121" t="str">
        <f t="shared" si="4"/>
        <v/>
      </c>
      <c r="B121">
        <f t="shared" si="3"/>
        <v>0</v>
      </c>
      <c r="C121" s="1"/>
    </row>
    <row r="122" spans="1:3" hidden="1" x14ac:dyDescent="0.15">
      <c r="A122" t="str">
        <f t="shared" si="4"/>
        <v>0</v>
      </c>
      <c r="B122">
        <f t="shared" si="3"/>
        <v>11</v>
      </c>
      <c r="C122" s="59" t="s">
        <v>3805</v>
      </c>
    </row>
    <row r="123" spans="1:3" hidden="1" x14ac:dyDescent="0.15">
      <c r="A123" t="str">
        <f t="shared" si="4"/>
        <v/>
      </c>
      <c r="B123">
        <f t="shared" si="3"/>
        <v>0</v>
      </c>
      <c r="C123" s="1"/>
    </row>
    <row r="124" spans="1:3" x14ac:dyDescent="0.15">
      <c r="A124" t="str">
        <f t="shared" si="4"/>
        <v>《</v>
      </c>
      <c r="B124">
        <f t="shared" si="3"/>
        <v>25</v>
      </c>
      <c r="C124" s="2" t="s">
        <v>3806</v>
      </c>
    </row>
    <row r="125" spans="1:3" hidden="1" x14ac:dyDescent="0.15">
      <c r="A125" t="str">
        <f t="shared" si="4"/>
        <v/>
      </c>
      <c r="B125">
        <f t="shared" si="3"/>
        <v>0</v>
      </c>
      <c r="C125" s="1"/>
    </row>
    <row r="126" spans="1:3" hidden="1" x14ac:dyDescent="0.15">
      <c r="A126" t="str">
        <f t="shared" si="4"/>
        <v>0</v>
      </c>
      <c r="B126">
        <f t="shared" si="3"/>
        <v>12</v>
      </c>
      <c r="C126" s="59" t="s">
        <v>3807</v>
      </c>
    </row>
    <row r="127" spans="1:3" hidden="1" x14ac:dyDescent="0.15">
      <c r="A127" t="str">
        <f t="shared" si="4"/>
        <v/>
      </c>
      <c r="B127">
        <f t="shared" si="3"/>
        <v>0</v>
      </c>
      <c r="C127" s="1"/>
    </row>
    <row r="128" spans="1:3" x14ac:dyDescent="0.15">
      <c r="A128" t="str">
        <f t="shared" si="4"/>
        <v>《</v>
      </c>
      <c r="B128">
        <f t="shared" si="3"/>
        <v>26</v>
      </c>
      <c r="C128" s="2" t="s">
        <v>3808</v>
      </c>
    </row>
    <row r="129" spans="1:3" hidden="1" x14ac:dyDescent="0.15">
      <c r="A129" t="str">
        <f t="shared" si="4"/>
        <v/>
      </c>
      <c r="B129">
        <f t="shared" si="3"/>
        <v>0</v>
      </c>
      <c r="C129" s="1"/>
    </row>
    <row r="130" spans="1:3" hidden="1" x14ac:dyDescent="0.15">
      <c r="A130" t="str">
        <f t="shared" si="4"/>
        <v>0</v>
      </c>
      <c r="B130">
        <f t="shared" si="3"/>
        <v>11</v>
      </c>
      <c r="C130" s="59" t="s">
        <v>3809</v>
      </c>
    </row>
    <row r="131" spans="1:3" hidden="1" x14ac:dyDescent="0.15">
      <c r="A131" t="str">
        <f t="shared" si="4"/>
        <v/>
      </c>
      <c r="B131">
        <f t="shared" ref="B131:B171" si="5">LEN(C131)</f>
        <v>0</v>
      </c>
      <c r="C131" s="1"/>
    </row>
    <row r="132" spans="1:3" hidden="1" x14ac:dyDescent="0.15">
      <c r="A132" t="str">
        <f t="shared" si="4"/>
        <v>第</v>
      </c>
      <c r="B132">
        <f t="shared" si="5"/>
        <v>3</v>
      </c>
      <c r="C132" s="33" t="s">
        <v>5</v>
      </c>
    </row>
    <row r="133" spans="1:3" hidden="1" x14ac:dyDescent="0.15">
      <c r="A133" t="str">
        <f t="shared" si="4"/>
        <v>上</v>
      </c>
      <c r="B133">
        <f t="shared" si="5"/>
        <v>3</v>
      </c>
      <c r="C133" s="33" t="s">
        <v>6</v>
      </c>
    </row>
    <row r="134" spans="1:3" hidden="1" x14ac:dyDescent="0.15">
      <c r="A134" t="str">
        <f t="shared" si="4"/>
        <v>1</v>
      </c>
      <c r="B134">
        <f t="shared" si="5"/>
        <v>1</v>
      </c>
      <c r="C134" s="33">
        <v>1</v>
      </c>
    </row>
    <row r="135" spans="1:3" hidden="1" x14ac:dyDescent="0.15">
      <c r="A135" t="str">
        <f t="shared" si="4"/>
        <v>2</v>
      </c>
      <c r="B135">
        <f t="shared" si="5"/>
        <v>1</v>
      </c>
      <c r="C135" s="2">
        <v>2</v>
      </c>
    </row>
    <row r="136" spans="1:3" hidden="1" x14ac:dyDescent="0.15">
      <c r="A136" t="str">
        <f t="shared" si="4"/>
        <v>3</v>
      </c>
      <c r="B136">
        <f t="shared" si="5"/>
        <v>1</v>
      </c>
      <c r="C136" s="2">
        <v>3</v>
      </c>
    </row>
    <row r="137" spans="1:3" hidden="1" x14ac:dyDescent="0.15">
      <c r="A137" t="str">
        <f t="shared" si="4"/>
        <v>4</v>
      </c>
      <c r="B137">
        <f t="shared" si="5"/>
        <v>1</v>
      </c>
      <c r="C137" s="2">
        <v>4</v>
      </c>
    </row>
    <row r="138" spans="1:3" hidden="1" x14ac:dyDescent="0.15">
      <c r="A138" t="str">
        <f t="shared" si="4"/>
        <v>5</v>
      </c>
      <c r="B138">
        <f t="shared" si="5"/>
        <v>1</v>
      </c>
      <c r="C138" s="2">
        <v>5</v>
      </c>
    </row>
    <row r="139" spans="1:3" hidden="1" x14ac:dyDescent="0.15">
      <c r="A139" t="str">
        <f t="shared" si="4"/>
        <v>6</v>
      </c>
      <c r="B139">
        <f t="shared" si="5"/>
        <v>1</v>
      </c>
      <c r="C139" s="2">
        <v>6</v>
      </c>
    </row>
    <row r="140" spans="1:3" hidden="1" x14ac:dyDescent="0.15">
      <c r="A140" t="str">
        <f t="shared" si="4"/>
        <v>7</v>
      </c>
      <c r="B140">
        <f t="shared" si="5"/>
        <v>1</v>
      </c>
      <c r="C140" s="2">
        <v>7</v>
      </c>
    </row>
    <row r="141" spans="1:3" hidden="1" x14ac:dyDescent="0.15">
      <c r="A141" t="str">
        <f t="shared" si="4"/>
        <v>8</v>
      </c>
      <c r="B141">
        <f t="shared" si="5"/>
        <v>1</v>
      </c>
      <c r="C141" s="2">
        <v>8</v>
      </c>
    </row>
    <row r="142" spans="1:3" hidden="1" x14ac:dyDescent="0.15">
      <c r="A142" t="str">
        <f t="shared" si="4"/>
        <v>9</v>
      </c>
      <c r="B142">
        <f t="shared" si="5"/>
        <v>1</v>
      </c>
      <c r="C142" s="2">
        <v>9</v>
      </c>
    </row>
    <row r="143" spans="1:3" hidden="1" x14ac:dyDescent="0.15">
      <c r="A143" t="str">
        <f t="shared" si="4"/>
        <v>1</v>
      </c>
      <c r="B143">
        <f t="shared" si="5"/>
        <v>2</v>
      </c>
      <c r="C143" s="2">
        <v>10</v>
      </c>
    </row>
    <row r="144" spans="1:3" hidden="1" x14ac:dyDescent="0.15">
      <c r="A144" t="str">
        <f t="shared" si="4"/>
        <v>下</v>
      </c>
      <c r="B144">
        <f t="shared" si="5"/>
        <v>3</v>
      </c>
      <c r="C144" s="2" t="s">
        <v>7</v>
      </c>
    </row>
    <row r="145" spans="1:3" hidden="1" x14ac:dyDescent="0.15">
      <c r="A145" t="str">
        <f t="shared" si="4"/>
        <v>最</v>
      </c>
      <c r="B145">
        <f t="shared" si="5"/>
        <v>4</v>
      </c>
      <c r="C145" s="2" t="s">
        <v>8</v>
      </c>
    </row>
    <row r="146" spans="1:3" hidden="1" x14ac:dyDescent="0.15">
      <c r="A146" t="str">
        <f t="shared" si="4"/>
        <v/>
      </c>
      <c r="B146">
        <f t="shared" si="5"/>
        <v>0</v>
      </c>
    </row>
    <row r="147" spans="1:3" x14ac:dyDescent="0.15">
      <c r="A147" t="str">
        <f t="shared" si="4"/>
        <v>原</v>
      </c>
      <c r="B147">
        <f t="shared" si="5"/>
        <v>18</v>
      </c>
      <c r="C147" s="4" t="s">
        <v>3743</v>
      </c>
    </row>
    <row r="148" spans="1:3" hidden="1" x14ac:dyDescent="0.15">
      <c r="A148" t="str">
        <f t="shared" si="4"/>
        <v/>
      </c>
      <c r="B148">
        <f t="shared" si="5"/>
        <v>0</v>
      </c>
      <c r="C148" s="3"/>
    </row>
    <row r="149" spans="1:3" x14ac:dyDescent="0.15">
      <c r="A149" t="str">
        <f t="shared" si="4"/>
        <v>以</v>
      </c>
      <c r="B149">
        <f t="shared" si="5"/>
        <v>892</v>
      </c>
      <c r="C149" s="34" t="s">
        <v>3744</v>
      </c>
    </row>
    <row r="150" spans="1:3" hidden="1" x14ac:dyDescent="0.15">
      <c r="A150" t="str">
        <f t="shared" si="4"/>
        <v/>
      </c>
      <c r="B150">
        <f t="shared" si="5"/>
        <v>0</v>
      </c>
    </row>
    <row r="151" spans="1:3" x14ac:dyDescent="0.15">
      <c r="A151" t="str">
        <f t="shared" si="4"/>
        <v>油</v>
      </c>
      <c r="B151">
        <f t="shared" si="5"/>
        <v>16</v>
      </c>
      <c r="C151" s="5" t="s">
        <v>3745</v>
      </c>
    </row>
    <row r="152" spans="1:3" hidden="1" x14ac:dyDescent="0.15">
      <c r="A152" t="str">
        <f t="shared" si="4"/>
        <v/>
      </c>
      <c r="B152">
        <f t="shared" si="5"/>
        <v>0</v>
      </c>
    </row>
    <row r="153" spans="1:3" x14ac:dyDescent="0.15">
      <c r="A153" t="str">
        <f t="shared" si="4"/>
        <v>油</v>
      </c>
      <c r="B153">
        <f t="shared" si="5"/>
        <v>16</v>
      </c>
      <c r="C153" s="4" t="s">
        <v>3745</v>
      </c>
    </row>
    <row r="154" spans="1:3" hidden="1" x14ac:dyDescent="0.15">
      <c r="A154" t="str">
        <f t="shared" si="4"/>
        <v/>
      </c>
      <c r="B154">
        <f t="shared" si="5"/>
        <v>0</v>
      </c>
    </row>
    <row r="155" spans="1:3" hidden="1" x14ac:dyDescent="0.15">
      <c r="A155" t="str">
        <f t="shared" si="4"/>
        <v>最</v>
      </c>
      <c r="B155">
        <f t="shared" si="5"/>
        <v>6</v>
      </c>
      <c r="C155" s="25" t="s">
        <v>9</v>
      </c>
    </row>
    <row r="156" spans="1:3" hidden="1" x14ac:dyDescent="0.15">
      <c r="A156" t="str">
        <f t="shared" si="4"/>
        <v/>
      </c>
      <c r="B156">
        <f t="shared" si="5"/>
        <v>0</v>
      </c>
      <c r="C156" s="1"/>
    </row>
    <row r="157" spans="1:3" hidden="1" x14ac:dyDescent="0.15">
      <c r="A157" t="str">
        <f t="shared" si="4"/>
        <v>1</v>
      </c>
      <c r="B157">
        <f t="shared" si="5"/>
        <v>5</v>
      </c>
      <c r="C157" s="35">
        <v>17099</v>
      </c>
    </row>
    <row r="158" spans="1:3" x14ac:dyDescent="0.15">
      <c r="A158" t="str">
        <f t="shared" si="4"/>
        <v>兆</v>
      </c>
      <c r="B158">
        <f t="shared" si="5"/>
        <v>27</v>
      </c>
      <c r="C158" s="2" t="s">
        <v>3746</v>
      </c>
    </row>
    <row r="159" spans="1:3" hidden="1" x14ac:dyDescent="0.15">
      <c r="A159" t="str">
        <f t="shared" si="4"/>
        <v>4</v>
      </c>
      <c r="B159">
        <f t="shared" si="5"/>
        <v>4</v>
      </c>
      <c r="C159" s="35">
        <v>4368</v>
      </c>
    </row>
    <row r="160" spans="1:3" x14ac:dyDescent="0.15">
      <c r="A160" t="str">
        <f t="shared" si="4"/>
        <v>汽</v>
      </c>
      <c r="B160">
        <f t="shared" si="5"/>
        <v>12</v>
      </c>
      <c r="C160" s="2" t="s">
        <v>3747</v>
      </c>
    </row>
    <row r="161" spans="1:3" hidden="1" x14ac:dyDescent="0.15">
      <c r="A161" t="str">
        <f t="shared" si="4"/>
        <v>3</v>
      </c>
      <c r="B161">
        <f t="shared" si="5"/>
        <v>4</v>
      </c>
      <c r="C161" s="35">
        <v>3943</v>
      </c>
    </row>
    <row r="162" spans="1:3" x14ac:dyDescent="0.15">
      <c r="A162" t="str">
        <f t="shared" si="4"/>
        <v>油</v>
      </c>
      <c r="B162">
        <f t="shared" si="5"/>
        <v>12</v>
      </c>
      <c r="C162" s="2" t="s">
        <v>3748</v>
      </c>
    </row>
    <row r="163" spans="1:3" hidden="1" x14ac:dyDescent="0.15">
      <c r="A163" t="str">
        <f t="shared" si="4"/>
        <v>3</v>
      </c>
      <c r="B163">
        <f t="shared" si="5"/>
        <v>4</v>
      </c>
      <c r="C163" s="35">
        <v>3788</v>
      </c>
    </row>
    <row r="164" spans="1:3" x14ac:dyDescent="0.15">
      <c r="A164" t="str">
        <f t="shared" si="4"/>
        <v>國</v>
      </c>
      <c r="B164">
        <f t="shared" si="5"/>
        <v>11</v>
      </c>
      <c r="C164" s="2" t="s">
        <v>3749</v>
      </c>
    </row>
    <row r="165" spans="1:3" hidden="1" x14ac:dyDescent="0.15">
      <c r="A165" t="str">
        <f t="shared" si="4"/>
        <v>3</v>
      </c>
      <c r="B165">
        <f t="shared" si="5"/>
        <v>4</v>
      </c>
      <c r="C165" s="35">
        <v>3703</v>
      </c>
    </row>
    <row r="166" spans="1:3" x14ac:dyDescent="0.15">
      <c r="A166" t="str">
        <f t="shared" si="4"/>
        <v>社</v>
      </c>
      <c r="B166">
        <f t="shared" si="5"/>
        <v>18</v>
      </c>
      <c r="C166" s="2" t="s">
        <v>3750</v>
      </c>
    </row>
    <row r="167" spans="1:3" hidden="1" x14ac:dyDescent="0.15">
      <c r="A167" t="str">
        <f t="shared" si="4"/>
        <v/>
      </c>
      <c r="B167">
        <f t="shared" si="5"/>
        <v>0</v>
      </c>
      <c r="C167" s="3"/>
    </row>
    <row r="168" spans="1:3" x14ac:dyDescent="0.15">
      <c r="A168" t="str">
        <f t="shared" si="4"/>
        <v>你</v>
      </c>
      <c r="B168">
        <f t="shared" si="5"/>
        <v>10</v>
      </c>
      <c r="C168" s="25" t="s">
        <v>3439</v>
      </c>
    </row>
    <row r="169" spans="1:3" hidden="1" x14ac:dyDescent="0.15">
      <c r="A169" t="str">
        <f t="shared" si="4"/>
        <v/>
      </c>
      <c r="B169">
        <f t="shared" si="5"/>
        <v>0</v>
      </c>
    </row>
    <row r="170" spans="1:3" hidden="1" x14ac:dyDescent="0.15">
      <c r="A170" t="str">
        <f t="shared" si="4"/>
        <v>中</v>
      </c>
      <c r="B170">
        <f t="shared" si="5"/>
        <v>5</v>
      </c>
      <c r="C170" s="2" t="s">
        <v>3440</v>
      </c>
    </row>
    <row r="171" spans="1:3" hidden="1" x14ac:dyDescent="0.15">
      <c r="A171" t="str">
        <f t="shared" si="4"/>
        <v/>
      </c>
      <c r="B171">
        <f t="shared" si="5"/>
        <v>0</v>
      </c>
    </row>
    <row r="172" spans="1:3" hidden="1" x14ac:dyDescent="0.15">
      <c r="A172" t="e">
        <f>LEFT(#REF!)</f>
        <v>#REF!</v>
      </c>
      <c r="B172" t="e">
        <f>LEN(#REF!)</f>
        <v>#REF!</v>
      </c>
      <c r="C172" s="4" t="s">
        <v>10</v>
      </c>
    </row>
    <row r="173" spans="1:3" hidden="1" x14ac:dyDescent="0.15">
      <c r="A173" t="e">
        <f>LEFT(#REF!)</f>
        <v>#REF!</v>
      </c>
      <c r="B173" t="e">
        <f>LEN(#REF!)</f>
        <v>#REF!</v>
      </c>
    </row>
    <row r="174" spans="1:3" hidden="1" x14ac:dyDescent="0.15">
      <c r="A174" t="e">
        <f>LEFT(#REF!)</f>
        <v>#REF!</v>
      </c>
      <c r="B174" t="e">
        <f>LEN(#REF!)</f>
        <v>#REF!</v>
      </c>
    </row>
    <row r="175" spans="1:3" hidden="1" x14ac:dyDescent="0.15">
      <c r="A175" t="e">
        <f>LEFT(#REF!)</f>
        <v>#REF!</v>
      </c>
      <c r="B175" t="e">
        <f>LEN(#REF!)</f>
        <v>#REF!</v>
      </c>
    </row>
    <row r="176" spans="1:3" hidden="1" x14ac:dyDescent="0.15">
      <c r="A176" t="e">
        <f>LEFT(#REF!)</f>
        <v>#REF!</v>
      </c>
      <c r="B176" t="e">
        <f>LEN(#REF!)</f>
        <v>#REF!</v>
      </c>
    </row>
    <row r="177" spans="1:2" hidden="1" x14ac:dyDescent="0.15">
      <c r="A177" t="e">
        <f>LEFT(#REF!)</f>
        <v>#REF!</v>
      </c>
      <c r="B177" t="e">
        <f>LEN(#REF!)</f>
        <v>#REF!</v>
      </c>
    </row>
    <row r="178" spans="1:2" hidden="1" x14ac:dyDescent="0.15">
      <c r="A178" t="str">
        <f t="shared" ref="A178:A209" si="6">LEFT(C172)</f>
        <v>T</v>
      </c>
      <c r="B178">
        <f t="shared" ref="B178:B194" si="7">LEN(C172)</f>
        <v>3</v>
      </c>
    </row>
    <row r="179" spans="1:2" hidden="1" x14ac:dyDescent="0.15">
      <c r="A179" t="str">
        <f t="shared" si="6"/>
        <v/>
      </c>
      <c r="B179">
        <f t="shared" si="7"/>
        <v>0</v>
      </c>
    </row>
    <row r="180" spans="1:2" hidden="1" x14ac:dyDescent="0.15">
      <c r="A180" t="str">
        <f t="shared" si="6"/>
        <v/>
      </c>
      <c r="B180">
        <f t="shared" si="7"/>
        <v>0</v>
      </c>
    </row>
    <row r="181" spans="1:2" hidden="1" x14ac:dyDescent="0.15">
      <c r="A181" t="str">
        <f t="shared" si="6"/>
        <v/>
      </c>
      <c r="B181">
        <f t="shared" si="7"/>
        <v>0</v>
      </c>
    </row>
    <row r="182" spans="1:2" hidden="1" x14ac:dyDescent="0.15">
      <c r="A182" t="str">
        <f t="shared" si="6"/>
        <v/>
      </c>
      <c r="B182">
        <f t="shared" si="7"/>
        <v>0</v>
      </c>
    </row>
    <row r="183" spans="1:2" hidden="1" x14ac:dyDescent="0.15">
      <c r="A183" t="str">
        <f t="shared" si="6"/>
        <v/>
      </c>
      <c r="B183">
        <f t="shared" si="7"/>
        <v>0</v>
      </c>
    </row>
    <row r="184" spans="1:2" hidden="1" x14ac:dyDescent="0.15">
      <c r="A184" t="str">
        <f t="shared" si="6"/>
        <v/>
      </c>
      <c r="B184">
        <f t="shared" si="7"/>
        <v>0</v>
      </c>
    </row>
    <row r="185" spans="1:2" hidden="1" x14ac:dyDescent="0.15">
      <c r="A185" t="str">
        <f t="shared" si="6"/>
        <v/>
      </c>
      <c r="B185">
        <f t="shared" si="7"/>
        <v>0</v>
      </c>
    </row>
    <row r="186" spans="1:2" hidden="1" x14ac:dyDescent="0.15">
      <c r="A186" t="str">
        <f t="shared" si="6"/>
        <v/>
      </c>
      <c r="B186">
        <f t="shared" si="7"/>
        <v>0</v>
      </c>
    </row>
    <row r="187" spans="1:2" hidden="1" x14ac:dyDescent="0.15">
      <c r="A187" t="str">
        <f t="shared" si="6"/>
        <v/>
      </c>
      <c r="B187">
        <f t="shared" si="7"/>
        <v>0</v>
      </c>
    </row>
    <row r="188" spans="1:2" hidden="1" x14ac:dyDescent="0.15">
      <c r="A188" t="str">
        <f t="shared" si="6"/>
        <v/>
      </c>
      <c r="B188">
        <f t="shared" si="7"/>
        <v>0</v>
      </c>
    </row>
    <row r="189" spans="1:2" hidden="1" x14ac:dyDescent="0.15">
      <c r="A189" t="str">
        <f t="shared" si="6"/>
        <v/>
      </c>
      <c r="B189">
        <f t="shared" si="7"/>
        <v>0</v>
      </c>
    </row>
    <row r="190" spans="1:2" hidden="1" x14ac:dyDescent="0.15">
      <c r="A190" t="str">
        <f t="shared" si="6"/>
        <v/>
      </c>
      <c r="B190">
        <f t="shared" si="7"/>
        <v>0</v>
      </c>
    </row>
    <row r="191" spans="1:2" hidden="1" x14ac:dyDescent="0.15">
      <c r="A191" t="str">
        <f t="shared" si="6"/>
        <v/>
      </c>
      <c r="B191">
        <f t="shared" si="7"/>
        <v>0</v>
      </c>
    </row>
    <row r="192" spans="1:2" hidden="1" x14ac:dyDescent="0.15">
      <c r="A192" t="str">
        <f t="shared" si="6"/>
        <v/>
      </c>
      <c r="B192">
        <f t="shared" si="7"/>
        <v>0</v>
      </c>
    </row>
    <row r="193" spans="1:2" hidden="1" x14ac:dyDescent="0.15">
      <c r="A193" t="str">
        <f t="shared" si="6"/>
        <v/>
      </c>
      <c r="B193">
        <f t="shared" si="7"/>
        <v>0</v>
      </c>
    </row>
    <row r="194" spans="1:2" hidden="1" x14ac:dyDescent="0.15">
      <c r="A194" t="str">
        <f t="shared" si="6"/>
        <v/>
      </c>
      <c r="B194">
        <f t="shared" si="7"/>
        <v>0</v>
      </c>
    </row>
    <row r="195" spans="1:2" hidden="1" x14ac:dyDescent="0.15">
      <c r="A195" t="str">
        <f t="shared" si="6"/>
        <v/>
      </c>
      <c r="B195">
        <f t="shared" ref="B195:B258" si="8">LEN(C189)</f>
        <v>0</v>
      </c>
    </row>
    <row r="196" spans="1:2" hidden="1" x14ac:dyDescent="0.15">
      <c r="A196" t="str">
        <f t="shared" si="6"/>
        <v/>
      </c>
      <c r="B196">
        <f t="shared" si="8"/>
        <v>0</v>
      </c>
    </row>
    <row r="197" spans="1:2" hidden="1" x14ac:dyDescent="0.15">
      <c r="A197" t="str">
        <f t="shared" si="6"/>
        <v/>
      </c>
      <c r="B197">
        <f t="shared" si="8"/>
        <v>0</v>
      </c>
    </row>
    <row r="198" spans="1:2" hidden="1" x14ac:dyDescent="0.15">
      <c r="A198" t="str">
        <f t="shared" si="6"/>
        <v/>
      </c>
      <c r="B198">
        <f t="shared" si="8"/>
        <v>0</v>
      </c>
    </row>
    <row r="199" spans="1:2" hidden="1" x14ac:dyDescent="0.15">
      <c r="A199" t="str">
        <f t="shared" si="6"/>
        <v/>
      </c>
      <c r="B199">
        <f t="shared" si="8"/>
        <v>0</v>
      </c>
    </row>
    <row r="200" spans="1:2" hidden="1" x14ac:dyDescent="0.15">
      <c r="A200" t="str">
        <f t="shared" si="6"/>
        <v/>
      </c>
      <c r="B200">
        <f t="shared" si="8"/>
        <v>0</v>
      </c>
    </row>
    <row r="201" spans="1:2" hidden="1" x14ac:dyDescent="0.15">
      <c r="A201" t="str">
        <f t="shared" si="6"/>
        <v/>
      </c>
      <c r="B201">
        <f t="shared" si="8"/>
        <v>0</v>
      </c>
    </row>
    <row r="202" spans="1:2" hidden="1" x14ac:dyDescent="0.15">
      <c r="A202" t="str">
        <f t="shared" si="6"/>
        <v/>
      </c>
      <c r="B202">
        <f t="shared" si="8"/>
        <v>0</v>
      </c>
    </row>
    <row r="203" spans="1:2" hidden="1" x14ac:dyDescent="0.15">
      <c r="A203" t="str">
        <f t="shared" si="6"/>
        <v/>
      </c>
      <c r="B203">
        <f t="shared" si="8"/>
        <v>0</v>
      </c>
    </row>
    <row r="204" spans="1:2" hidden="1" x14ac:dyDescent="0.15">
      <c r="A204" t="str">
        <f t="shared" si="6"/>
        <v/>
      </c>
      <c r="B204">
        <f t="shared" si="8"/>
        <v>0</v>
      </c>
    </row>
    <row r="205" spans="1:2" hidden="1" x14ac:dyDescent="0.15">
      <c r="A205" t="str">
        <f t="shared" si="6"/>
        <v/>
      </c>
      <c r="B205">
        <f t="shared" si="8"/>
        <v>0</v>
      </c>
    </row>
    <row r="206" spans="1:2" hidden="1" x14ac:dyDescent="0.15">
      <c r="A206" t="str">
        <f t="shared" si="6"/>
        <v/>
      </c>
      <c r="B206">
        <f t="shared" si="8"/>
        <v>0</v>
      </c>
    </row>
    <row r="207" spans="1:2" hidden="1" x14ac:dyDescent="0.15">
      <c r="A207" t="str">
        <f t="shared" si="6"/>
        <v/>
      </c>
      <c r="B207">
        <f t="shared" si="8"/>
        <v>0</v>
      </c>
    </row>
    <row r="208" spans="1:2" hidden="1" x14ac:dyDescent="0.15">
      <c r="A208" t="str">
        <f t="shared" si="6"/>
        <v/>
      </c>
      <c r="B208">
        <f t="shared" si="8"/>
        <v>0</v>
      </c>
    </row>
    <row r="209" spans="1:2" hidden="1" x14ac:dyDescent="0.15">
      <c r="A209" t="str">
        <f t="shared" si="6"/>
        <v/>
      </c>
      <c r="B209">
        <f t="shared" si="8"/>
        <v>0</v>
      </c>
    </row>
    <row r="210" spans="1:2" hidden="1" x14ac:dyDescent="0.15">
      <c r="A210" t="str">
        <f t="shared" ref="A210:A236" si="9">LEFT(C204)</f>
        <v/>
      </c>
      <c r="B210">
        <f t="shared" si="8"/>
        <v>0</v>
      </c>
    </row>
    <row r="211" spans="1:2" hidden="1" x14ac:dyDescent="0.15">
      <c r="A211" t="str">
        <f t="shared" si="9"/>
        <v/>
      </c>
      <c r="B211">
        <f t="shared" si="8"/>
        <v>0</v>
      </c>
    </row>
    <row r="212" spans="1:2" hidden="1" x14ac:dyDescent="0.15">
      <c r="A212" t="str">
        <f t="shared" si="9"/>
        <v/>
      </c>
      <c r="B212">
        <f t="shared" si="8"/>
        <v>0</v>
      </c>
    </row>
    <row r="213" spans="1:2" hidden="1" x14ac:dyDescent="0.15">
      <c r="A213" t="str">
        <f t="shared" si="9"/>
        <v/>
      </c>
      <c r="B213">
        <f t="shared" si="8"/>
        <v>0</v>
      </c>
    </row>
    <row r="214" spans="1:2" hidden="1" x14ac:dyDescent="0.15">
      <c r="A214" t="str">
        <f t="shared" si="9"/>
        <v/>
      </c>
      <c r="B214">
        <f t="shared" si="8"/>
        <v>0</v>
      </c>
    </row>
    <row r="215" spans="1:2" hidden="1" x14ac:dyDescent="0.15">
      <c r="A215" t="str">
        <f t="shared" si="9"/>
        <v/>
      </c>
      <c r="B215">
        <f t="shared" si="8"/>
        <v>0</v>
      </c>
    </row>
    <row r="216" spans="1:2" hidden="1" x14ac:dyDescent="0.15">
      <c r="A216" t="str">
        <f t="shared" si="9"/>
        <v/>
      </c>
      <c r="B216">
        <f t="shared" si="8"/>
        <v>0</v>
      </c>
    </row>
    <row r="217" spans="1:2" hidden="1" x14ac:dyDescent="0.15">
      <c r="A217" t="str">
        <f t="shared" si="9"/>
        <v/>
      </c>
      <c r="B217">
        <f t="shared" si="8"/>
        <v>0</v>
      </c>
    </row>
    <row r="218" spans="1:2" hidden="1" x14ac:dyDescent="0.15">
      <c r="A218" t="str">
        <f t="shared" si="9"/>
        <v/>
      </c>
      <c r="B218">
        <f t="shared" si="8"/>
        <v>0</v>
      </c>
    </row>
    <row r="219" spans="1:2" hidden="1" x14ac:dyDescent="0.15">
      <c r="A219" t="str">
        <f t="shared" si="9"/>
        <v/>
      </c>
      <c r="B219">
        <f t="shared" si="8"/>
        <v>0</v>
      </c>
    </row>
    <row r="220" spans="1:2" hidden="1" x14ac:dyDescent="0.15">
      <c r="A220" t="str">
        <f t="shared" si="9"/>
        <v/>
      </c>
      <c r="B220">
        <f t="shared" si="8"/>
        <v>0</v>
      </c>
    </row>
    <row r="221" spans="1:2" hidden="1" x14ac:dyDescent="0.15">
      <c r="A221" t="str">
        <f t="shared" si="9"/>
        <v/>
      </c>
      <c r="B221">
        <f t="shared" si="8"/>
        <v>0</v>
      </c>
    </row>
    <row r="222" spans="1:2" hidden="1" x14ac:dyDescent="0.15">
      <c r="A222" t="str">
        <f t="shared" si="9"/>
        <v/>
      </c>
      <c r="B222">
        <f t="shared" si="8"/>
        <v>0</v>
      </c>
    </row>
    <row r="223" spans="1:2" hidden="1" x14ac:dyDescent="0.15">
      <c r="A223" t="str">
        <f t="shared" si="9"/>
        <v/>
      </c>
      <c r="B223">
        <f t="shared" si="8"/>
        <v>0</v>
      </c>
    </row>
    <row r="224" spans="1:2" hidden="1" x14ac:dyDescent="0.15">
      <c r="A224" t="str">
        <f t="shared" si="9"/>
        <v/>
      </c>
      <c r="B224">
        <f t="shared" si="8"/>
        <v>0</v>
      </c>
    </row>
    <row r="225" spans="1:2" hidden="1" x14ac:dyDescent="0.15">
      <c r="A225" t="str">
        <f t="shared" si="9"/>
        <v/>
      </c>
      <c r="B225">
        <f t="shared" si="8"/>
        <v>0</v>
      </c>
    </row>
    <row r="226" spans="1:2" hidden="1" x14ac:dyDescent="0.15">
      <c r="A226" t="str">
        <f t="shared" si="9"/>
        <v/>
      </c>
      <c r="B226">
        <f t="shared" si="8"/>
        <v>0</v>
      </c>
    </row>
    <row r="227" spans="1:2" hidden="1" x14ac:dyDescent="0.15">
      <c r="A227" t="str">
        <f t="shared" si="9"/>
        <v/>
      </c>
      <c r="B227">
        <f t="shared" si="8"/>
        <v>0</v>
      </c>
    </row>
    <row r="228" spans="1:2" hidden="1" x14ac:dyDescent="0.15">
      <c r="A228" t="str">
        <f t="shared" si="9"/>
        <v/>
      </c>
      <c r="B228">
        <f t="shared" si="8"/>
        <v>0</v>
      </c>
    </row>
    <row r="229" spans="1:2" hidden="1" x14ac:dyDescent="0.15">
      <c r="A229" t="str">
        <f t="shared" si="9"/>
        <v/>
      </c>
      <c r="B229">
        <f t="shared" si="8"/>
        <v>0</v>
      </c>
    </row>
    <row r="230" spans="1:2" hidden="1" x14ac:dyDescent="0.15">
      <c r="A230" t="str">
        <f t="shared" si="9"/>
        <v/>
      </c>
      <c r="B230">
        <f t="shared" si="8"/>
        <v>0</v>
      </c>
    </row>
    <row r="231" spans="1:2" hidden="1" x14ac:dyDescent="0.15">
      <c r="A231" t="str">
        <f t="shared" si="9"/>
        <v/>
      </c>
      <c r="B231">
        <f t="shared" si="8"/>
        <v>0</v>
      </c>
    </row>
    <row r="232" spans="1:2" hidden="1" x14ac:dyDescent="0.15">
      <c r="A232" t="str">
        <f t="shared" si="9"/>
        <v/>
      </c>
      <c r="B232">
        <f t="shared" si="8"/>
        <v>0</v>
      </c>
    </row>
    <row r="233" spans="1:2" hidden="1" x14ac:dyDescent="0.15">
      <c r="A233" t="str">
        <f t="shared" si="9"/>
        <v/>
      </c>
      <c r="B233">
        <f t="shared" si="8"/>
        <v>0</v>
      </c>
    </row>
    <row r="234" spans="1:2" hidden="1" x14ac:dyDescent="0.15">
      <c r="A234" t="str">
        <f t="shared" si="9"/>
        <v/>
      </c>
      <c r="B234">
        <f t="shared" si="8"/>
        <v>0</v>
      </c>
    </row>
    <row r="235" spans="1:2" hidden="1" x14ac:dyDescent="0.15">
      <c r="A235" t="str">
        <f t="shared" si="9"/>
        <v/>
      </c>
      <c r="B235">
        <f t="shared" si="8"/>
        <v>0</v>
      </c>
    </row>
    <row r="236" spans="1:2" hidden="1" x14ac:dyDescent="0.15">
      <c r="A236" t="str">
        <f t="shared" si="9"/>
        <v/>
      </c>
      <c r="B236">
        <f t="shared" si="8"/>
        <v>0</v>
      </c>
    </row>
    <row r="237" spans="1:2" hidden="1" x14ac:dyDescent="0.15">
      <c r="A237" t="str">
        <f t="shared" ref="A237:A300" si="10">LEFT(C231)</f>
        <v/>
      </c>
      <c r="B237">
        <f t="shared" si="8"/>
        <v>0</v>
      </c>
    </row>
    <row r="238" spans="1:2" hidden="1" x14ac:dyDescent="0.15">
      <c r="A238" t="str">
        <f t="shared" si="10"/>
        <v/>
      </c>
      <c r="B238">
        <f t="shared" si="8"/>
        <v>0</v>
      </c>
    </row>
    <row r="239" spans="1:2" hidden="1" x14ac:dyDescent="0.15">
      <c r="A239" t="str">
        <f t="shared" si="10"/>
        <v/>
      </c>
      <c r="B239">
        <f t="shared" si="8"/>
        <v>0</v>
      </c>
    </row>
    <row r="240" spans="1:2" hidden="1" x14ac:dyDescent="0.15">
      <c r="A240" t="str">
        <f t="shared" si="10"/>
        <v/>
      </c>
      <c r="B240">
        <f t="shared" si="8"/>
        <v>0</v>
      </c>
    </row>
    <row r="241" spans="1:2" hidden="1" x14ac:dyDescent="0.15">
      <c r="A241" t="str">
        <f t="shared" si="10"/>
        <v/>
      </c>
      <c r="B241">
        <f t="shared" si="8"/>
        <v>0</v>
      </c>
    </row>
    <row r="242" spans="1:2" hidden="1" x14ac:dyDescent="0.15">
      <c r="A242" t="str">
        <f t="shared" si="10"/>
        <v/>
      </c>
      <c r="B242">
        <f t="shared" si="8"/>
        <v>0</v>
      </c>
    </row>
    <row r="243" spans="1:2" hidden="1" x14ac:dyDescent="0.15">
      <c r="A243" t="str">
        <f t="shared" si="10"/>
        <v/>
      </c>
      <c r="B243">
        <f t="shared" si="8"/>
        <v>0</v>
      </c>
    </row>
    <row r="244" spans="1:2" hidden="1" x14ac:dyDescent="0.15">
      <c r="A244" t="str">
        <f t="shared" si="10"/>
        <v/>
      </c>
      <c r="B244">
        <f t="shared" si="8"/>
        <v>0</v>
      </c>
    </row>
    <row r="245" spans="1:2" hidden="1" x14ac:dyDescent="0.15">
      <c r="A245" t="str">
        <f t="shared" si="10"/>
        <v/>
      </c>
      <c r="B245">
        <f t="shared" si="8"/>
        <v>0</v>
      </c>
    </row>
    <row r="246" spans="1:2" hidden="1" x14ac:dyDescent="0.15">
      <c r="A246" t="str">
        <f t="shared" si="10"/>
        <v/>
      </c>
      <c r="B246">
        <f t="shared" si="8"/>
        <v>0</v>
      </c>
    </row>
    <row r="247" spans="1:2" hidden="1" x14ac:dyDescent="0.15">
      <c r="A247" t="str">
        <f t="shared" si="10"/>
        <v/>
      </c>
      <c r="B247">
        <f t="shared" si="8"/>
        <v>0</v>
      </c>
    </row>
    <row r="248" spans="1:2" hidden="1" x14ac:dyDescent="0.15">
      <c r="A248" t="str">
        <f t="shared" si="10"/>
        <v/>
      </c>
      <c r="B248">
        <f t="shared" si="8"/>
        <v>0</v>
      </c>
    </row>
    <row r="249" spans="1:2" hidden="1" x14ac:dyDescent="0.15">
      <c r="A249" t="str">
        <f t="shared" si="10"/>
        <v/>
      </c>
      <c r="B249">
        <f t="shared" si="8"/>
        <v>0</v>
      </c>
    </row>
    <row r="250" spans="1:2" hidden="1" x14ac:dyDescent="0.15">
      <c r="A250" t="str">
        <f t="shared" si="10"/>
        <v/>
      </c>
      <c r="B250">
        <f t="shared" si="8"/>
        <v>0</v>
      </c>
    </row>
    <row r="251" spans="1:2" hidden="1" x14ac:dyDescent="0.15">
      <c r="A251" t="str">
        <f t="shared" si="10"/>
        <v/>
      </c>
      <c r="B251">
        <f t="shared" si="8"/>
        <v>0</v>
      </c>
    </row>
    <row r="252" spans="1:2" hidden="1" x14ac:dyDescent="0.15">
      <c r="A252" t="str">
        <f t="shared" si="10"/>
        <v/>
      </c>
      <c r="B252">
        <f t="shared" si="8"/>
        <v>0</v>
      </c>
    </row>
    <row r="253" spans="1:2" hidden="1" x14ac:dyDescent="0.15">
      <c r="A253" t="str">
        <f t="shared" si="10"/>
        <v/>
      </c>
      <c r="B253">
        <f t="shared" si="8"/>
        <v>0</v>
      </c>
    </row>
    <row r="254" spans="1:2" hidden="1" x14ac:dyDescent="0.15">
      <c r="A254" t="str">
        <f t="shared" si="10"/>
        <v/>
      </c>
      <c r="B254">
        <f t="shared" si="8"/>
        <v>0</v>
      </c>
    </row>
    <row r="255" spans="1:2" hidden="1" x14ac:dyDescent="0.15">
      <c r="A255" t="str">
        <f t="shared" si="10"/>
        <v/>
      </c>
      <c r="B255">
        <f t="shared" si="8"/>
        <v>0</v>
      </c>
    </row>
    <row r="256" spans="1:2" hidden="1" x14ac:dyDescent="0.15">
      <c r="A256" t="str">
        <f t="shared" si="10"/>
        <v/>
      </c>
      <c r="B256">
        <f t="shared" si="8"/>
        <v>0</v>
      </c>
    </row>
    <row r="257" spans="1:2" hidden="1" x14ac:dyDescent="0.15">
      <c r="A257" t="str">
        <f t="shared" si="10"/>
        <v/>
      </c>
      <c r="B257">
        <f t="shared" si="8"/>
        <v>0</v>
      </c>
    </row>
    <row r="258" spans="1:2" hidden="1" x14ac:dyDescent="0.15">
      <c r="A258" t="str">
        <f t="shared" si="10"/>
        <v/>
      </c>
      <c r="B258">
        <f t="shared" si="8"/>
        <v>0</v>
      </c>
    </row>
    <row r="259" spans="1:2" hidden="1" x14ac:dyDescent="0.15">
      <c r="A259" t="str">
        <f t="shared" si="10"/>
        <v/>
      </c>
      <c r="B259">
        <f t="shared" ref="B259:B300" si="11">LEN(C253)</f>
        <v>0</v>
      </c>
    </row>
    <row r="260" spans="1:2" hidden="1" x14ac:dyDescent="0.15">
      <c r="A260" t="str">
        <f t="shared" si="10"/>
        <v/>
      </c>
      <c r="B260">
        <f t="shared" si="11"/>
        <v>0</v>
      </c>
    </row>
    <row r="261" spans="1:2" hidden="1" x14ac:dyDescent="0.15">
      <c r="A261" t="str">
        <f t="shared" si="10"/>
        <v/>
      </c>
      <c r="B261">
        <f t="shared" si="11"/>
        <v>0</v>
      </c>
    </row>
    <row r="262" spans="1:2" hidden="1" x14ac:dyDescent="0.15">
      <c r="A262" t="str">
        <f t="shared" si="10"/>
        <v/>
      </c>
      <c r="B262">
        <f t="shared" si="11"/>
        <v>0</v>
      </c>
    </row>
    <row r="263" spans="1:2" hidden="1" x14ac:dyDescent="0.15">
      <c r="A263" t="str">
        <f t="shared" si="10"/>
        <v/>
      </c>
      <c r="B263">
        <f t="shared" si="11"/>
        <v>0</v>
      </c>
    </row>
    <row r="264" spans="1:2" hidden="1" x14ac:dyDescent="0.15">
      <c r="A264" t="str">
        <f t="shared" si="10"/>
        <v/>
      </c>
      <c r="B264">
        <f t="shared" si="11"/>
        <v>0</v>
      </c>
    </row>
    <row r="265" spans="1:2" hidden="1" x14ac:dyDescent="0.15">
      <c r="A265" t="str">
        <f t="shared" si="10"/>
        <v/>
      </c>
      <c r="B265">
        <f t="shared" si="11"/>
        <v>0</v>
      </c>
    </row>
    <row r="266" spans="1:2" hidden="1" x14ac:dyDescent="0.15">
      <c r="A266" t="str">
        <f t="shared" si="10"/>
        <v/>
      </c>
      <c r="B266">
        <f t="shared" si="11"/>
        <v>0</v>
      </c>
    </row>
    <row r="267" spans="1:2" hidden="1" x14ac:dyDescent="0.15">
      <c r="A267" t="str">
        <f t="shared" si="10"/>
        <v/>
      </c>
      <c r="B267">
        <f t="shared" si="11"/>
        <v>0</v>
      </c>
    </row>
    <row r="268" spans="1:2" hidden="1" x14ac:dyDescent="0.15">
      <c r="A268" t="str">
        <f t="shared" si="10"/>
        <v/>
      </c>
      <c r="B268">
        <f t="shared" si="11"/>
        <v>0</v>
      </c>
    </row>
    <row r="269" spans="1:2" hidden="1" x14ac:dyDescent="0.15">
      <c r="A269" t="str">
        <f t="shared" si="10"/>
        <v/>
      </c>
      <c r="B269">
        <f t="shared" si="11"/>
        <v>0</v>
      </c>
    </row>
    <row r="270" spans="1:2" hidden="1" x14ac:dyDescent="0.15">
      <c r="A270" t="str">
        <f t="shared" si="10"/>
        <v/>
      </c>
      <c r="B270">
        <f t="shared" si="11"/>
        <v>0</v>
      </c>
    </row>
    <row r="271" spans="1:2" hidden="1" x14ac:dyDescent="0.15">
      <c r="A271" t="str">
        <f t="shared" si="10"/>
        <v/>
      </c>
      <c r="B271">
        <f t="shared" si="11"/>
        <v>0</v>
      </c>
    </row>
    <row r="272" spans="1:2" hidden="1" x14ac:dyDescent="0.15">
      <c r="A272" t="str">
        <f t="shared" si="10"/>
        <v/>
      </c>
      <c r="B272">
        <f t="shared" si="11"/>
        <v>0</v>
      </c>
    </row>
    <row r="273" spans="1:2" hidden="1" x14ac:dyDescent="0.15">
      <c r="A273" t="str">
        <f t="shared" si="10"/>
        <v/>
      </c>
      <c r="B273">
        <f t="shared" si="11"/>
        <v>0</v>
      </c>
    </row>
    <row r="274" spans="1:2" hidden="1" x14ac:dyDescent="0.15">
      <c r="A274" t="str">
        <f t="shared" si="10"/>
        <v/>
      </c>
      <c r="B274">
        <f t="shared" si="11"/>
        <v>0</v>
      </c>
    </row>
    <row r="275" spans="1:2" hidden="1" x14ac:dyDescent="0.15">
      <c r="A275" t="str">
        <f t="shared" si="10"/>
        <v/>
      </c>
      <c r="B275">
        <f t="shared" si="11"/>
        <v>0</v>
      </c>
    </row>
    <row r="276" spans="1:2" hidden="1" x14ac:dyDescent="0.15">
      <c r="A276" t="str">
        <f t="shared" si="10"/>
        <v/>
      </c>
      <c r="B276">
        <f t="shared" si="11"/>
        <v>0</v>
      </c>
    </row>
    <row r="277" spans="1:2" hidden="1" x14ac:dyDescent="0.15">
      <c r="A277" t="str">
        <f t="shared" si="10"/>
        <v/>
      </c>
      <c r="B277">
        <f t="shared" si="11"/>
        <v>0</v>
      </c>
    </row>
    <row r="278" spans="1:2" hidden="1" x14ac:dyDescent="0.15">
      <c r="A278" t="str">
        <f t="shared" si="10"/>
        <v/>
      </c>
      <c r="B278">
        <f t="shared" si="11"/>
        <v>0</v>
      </c>
    </row>
    <row r="279" spans="1:2" hidden="1" x14ac:dyDescent="0.15">
      <c r="A279" t="str">
        <f t="shared" si="10"/>
        <v/>
      </c>
      <c r="B279">
        <f t="shared" si="11"/>
        <v>0</v>
      </c>
    </row>
    <row r="280" spans="1:2" hidden="1" x14ac:dyDescent="0.15">
      <c r="A280" t="str">
        <f t="shared" si="10"/>
        <v/>
      </c>
      <c r="B280">
        <f t="shared" si="11"/>
        <v>0</v>
      </c>
    </row>
    <row r="281" spans="1:2" hidden="1" x14ac:dyDescent="0.15">
      <c r="A281" t="str">
        <f t="shared" si="10"/>
        <v/>
      </c>
      <c r="B281">
        <f t="shared" si="11"/>
        <v>0</v>
      </c>
    </row>
    <row r="282" spans="1:2" hidden="1" x14ac:dyDescent="0.15">
      <c r="A282" t="str">
        <f t="shared" si="10"/>
        <v/>
      </c>
      <c r="B282">
        <f t="shared" si="11"/>
        <v>0</v>
      </c>
    </row>
    <row r="283" spans="1:2" hidden="1" x14ac:dyDescent="0.15">
      <c r="A283" t="str">
        <f t="shared" si="10"/>
        <v/>
      </c>
      <c r="B283">
        <f t="shared" si="11"/>
        <v>0</v>
      </c>
    </row>
    <row r="284" spans="1:2" hidden="1" x14ac:dyDescent="0.15">
      <c r="A284" t="str">
        <f t="shared" si="10"/>
        <v/>
      </c>
      <c r="B284">
        <f t="shared" si="11"/>
        <v>0</v>
      </c>
    </row>
    <row r="285" spans="1:2" hidden="1" x14ac:dyDescent="0.15">
      <c r="A285" t="str">
        <f t="shared" si="10"/>
        <v/>
      </c>
      <c r="B285">
        <f t="shared" si="11"/>
        <v>0</v>
      </c>
    </row>
    <row r="286" spans="1:2" hidden="1" x14ac:dyDescent="0.15">
      <c r="A286" t="str">
        <f t="shared" si="10"/>
        <v/>
      </c>
      <c r="B286">
        <f t="shared" si="11"/>
        <v>0</v>
      </c>
    </row>
    <row r="287" spans="1:2" hidden="1" x14ac:dyDescent="0.15">
      <c r="A287" t="str">
        <f t="shared" si="10"/>
        <v/>
      </c>
      <c r="B287">
        <f t="shared" si="11"/>
        <v>0</v>
      </c>
    </row>
    <row r="288" spans="1:2" hidden="1" x14ac:dyDescent="0.15">
      <c r="A288" t="str">
        <f t="shared" si="10"/>
        <v/>
      </c>
      <c r="B288">
        <f t="shared" si="11"/>
        <v>0</v>
      </c>
    </row>
    <row r="289" spans="1:2" hidden="1" x14ac:dyDescent="0.15">
      <c r="A289" t="str">
        <f t="shared" si="10"/>
        <v/>
      </c>
      <c r="B289">
        <f t="shared" si="11"/>
        <v>0</v>
      </c>
    </row>
    <row r="290" spans="1:2" hidden="1" x14ac:dyDescent="0.15">
      <c r="A290" t="str">
        <f t="shared" si="10"/>
        <v/>
      </c>
      <c r="B290">
        <f t="shared" si="11"/>
        <v>0</v>
      </c>
    </row>
    <row r="291" spans="1:2" hidden="1" x14ac:dyDescent="0.15">
      <c r="A291" t="str">
        <f t="shared" si="10"/>
        <v/>
      </c>
      <c r="B291">
        <f t="shared" si="11"/>
        <v>0</v>
      </c>
    </row>
    <row r="292" spans="1:2" hidden="1" x14ac:dyDescent="0.15">
      <c r="A292" t="str">
        <f t="shared" si="10"/>
        <v/>
      </c>
      <c r="B292">
        <f t="shared" si="11"/>
        <v>0</v>
      </c>
    </row>
    <row r="293" spans="1:2" hidden="1" x14ac:dyDescent="0.15">
      <c r="A293" t="str">
        <f t="shared" si="10"/>
        <v/>
      </c>
      <c r="B293">
        <f t="shared" si="11"/>
        <v>0</v>
      </c>
    </row>
    <row r="294" spans="1:2" hidden="1" x14ac:dyDescent="0.15">
      <c r="A294" t="str">
        <f t="shared" si="10"/>
        <v/>
      </c>
      <c r="B294">
        <f t="shared" si="11"/>
        <v>0</v>
      </c>
    </row>
    <row r="295" spans="1:2" hidden="1" x14ac:dyDescent="0.15">
      <c r="A295" t="str">
        <f t="shared" si="10"/>
        <v/>
      </c>
      <c r="B295">
        <f t="shared" si="11"/>
        <v>0</v>
      </c>
    </row>
    <row r="296" spans="1:2" hidden="1" x14ac:dyDescent="0.15">
      <c r="A296" t="str">
        <f t="shared" si="10"/>
        <v/>
      </c>
      <c r="B296">
        <f t="shared" si="11"/>
        <v>0</v>
      </c>
    </row>
    <row r="297" spans="1:2" hidden="1" x14ac:dyDescent="0.15">
      <c r="A297" t="str">
        <f t="shared" si="10"/>
        <v/>
      </c>
      <c r="B297">
        <f t="shared" si="11"/>
        <v>0</v>
      </c>
    </row>
    <row r="298" spans="1:2" hidden="1" x14ac:dyDescent="0.15">
      <c r="A298" t="str">
        <f t="shared" si="10"/>
        <v/>
      </c>
      <c r="B298">
        <f t="shared" si="11"/>
        <v>0</v>
      </c>
    </row>
    <row r="299" spans="1:2" hidden="1" x14ac:dyDescent="0.15">
      <c r="A299" t="str">
        <f t="shared" si="10"/>
        <v/>
      </c>
      <c r="B299">
        <f t="shared" si="11"/>
        <v>0</v>
      </c>
    </row>
    <row r="300" spans="1:2" hidden="1" x14ac:dyDescent="0.15">
      <c r="A300" t="str">
        <f t="shared" si="10"/>
        <v/>
      </c>
      <c r="B300">
        <f t="shared" si="11"/>
        <v>0</v>
      </c>
    </row>
  </sheetData>
  <autoFilter ref="A2:C300">
    <filterColumn colId="0">
      <customFilters>
        <customFilter operator="notEqual" val="*0*"/>
      </customFilters>
    </filterColumn>
    <filterColumn colId="1">
      <customFilters>
        <customFilter operator="greaterThanOrEqual" val="10"/>
      </customFilters>
    </filterColumn>
  </autoFilter>
  <phoneticPr fontId="1" type="noConversion"/>
  <hyperlinks>
    <hyperlink ref="C2" r:id="rId1" display="http://www.chinatimes.com/"/>
    <hyperlink ref="C4" r:id="rId2" display="http://www.chinatimes.com/money/"/>
    <hyperlink ref="C6" r:id="rId3" display="http://www.chinatimes.com/money/securities"/>
    <hyperlink ref="C12" r:id="rId4" display="http://www.chinatimes.com/realtimenews/20160308002959-260410"/>
    <hyperlink ref="C16" r:id="rId5" display="http://www.chinatimes.com/realtimenews/20160308002927-260410"/>
    <hyperlink ref="C20" r:id="rId6" display="http://www.chinatimes.com/realtimenews/20160308002822-260410"/>
    <hyperlink ref="C24" r:id="rId7" display="http://www.chinatimes.com/realtimenews/20160308002748-260410"/>
    <hyperlink ref="C28" r:id="rId8" display="http://www.chinatimes.com/realtimenews/20160308002745-260410"/>
    <hyperlink ref="C32" r:id="rId9" display="http://www.chinatimes.com/realtimenews/20160308002700-260410"/>
    <hyperlink ref="C36" r:id="rId10" display="http://www.chinatimes.com/realtimenews/20160308002697-260410"/>
    <hyperlink ref="C40" r:id="rId11" display="http://www.chinatimes.com/realtimenews/20160308002571-260410"/>
    <hyperlink ref="C44" r:id="rId12" display="http://www.chinatimes.com/realtimenews/20160308002501-260410"/>
    <hyperlink ref="C48" r:id="rId13" display="http://www.chinatimes.com/realtimenews/20160308002496-260410"/>
    <hyperlink ref="C52" r:id="rId14" display="http://www.chinatimes.com/realtimenews/20160308002494-260410"/>
    <hyperlink ref="C56" r:id="rId15" display="http://www.chinatimes.com/realtimenews/20160308002410-260410"/>
    <hyperlink ref="C60" r:id="rId16" display="http://www.chinatimes.com/realtimenews/20160308002378-260410"/>
    <hyperlink ref="C64" r:id="rId17" display="http://www.chinatimes.com/realtimenews/20160308002324-260410"/>
    <hyperlink ref="C68" r:id="rId18" display="http://www.chinatimes.com/realtimenews/20160308002257-260410"/>
    <hyperlink ref="C72" r:id="rId19" display="http://www.chinatimes.com/realtimenews/20160308002249-260410"/>
    <hyperlink ref="C76" r:id="rId20" display="http://www.chinatimes.com/realtimenews/20160308002206-260410"/>
    <hyperlink ref="C80" r:id="rId21" display="http://www.chinatimes.com/realtimenews/20160308002204-260410"/>
    <hyperlink ref="C84" r:id="rId22" display="http://www.chinatimes.com/realtimenews/20160308002149-260410"/>
    <hyperlink ref="C88" r:id="rId23" display="http://www.chinatimes.com/realtimenews/20160308001921-260410"/>
    <hyperlink ref="C92" r:id="rId24" display="http://www.chinatimes.com/realtimenews/20160308001918-260410"/>
    <hyperlink ref="C96" r:id="rId25" display="http://www.chinatimes.com/realtimenews/20160308001909-260410"/>
    <hyperlink ref="C100" r:id="rId26" display="http://www.chinatimes.com/realtimenews/20160308001904-260410"/>
    <hyperlink ref="C104" r:id="rId27" display="http://www.chinatimes.com/realtimenews/20160308001901-260410"/>
    <hyperlink ref="C108" r:id="rId28" display="http://www.chinatimes.com/realtimenews/20160308001855-260410"/>
    <hyperlink ref="C112" r:id="rId29" display="http://www.chinatimes.com/realtimenews/20160308001854-260410"/>
    <hyperlink ref="C116" r:id="rId30" display="http://www.chinatimes.com/realtimenews/20160308001853-260410"/>
    <hyperlink ref="C120" r:id="rId31" display="http://www.chinatimes.com/realtimenews/20160308001852-260410"/>
    <hyperlink ref="C124" r:id="rId32" display="http://www.chinatimes.com/realtimenews/20160308001851-260410"/>
    <hyperlink ref="C128" r:id="rId33" display="http://www.chinatimes.com/realtimenews/20160308001850-260410"/>
    <hyperlink ref="C135" r:id="rId34" display="http://www.chinatimes.com/money/securities?page=2"/>
    <hyperlink ref="C136" r:id="rId35" display="http://www.chinatimes.com/money/securities?page=3"/>
    <hyperlink ref="C137" r:id="rId36" display="http://www.chinatimes.com/money/securities?page=4"/>
    <hyperlink ref="C138" r:id="rId37" display="http://www.chinatimes.com/money/securities?page=5"/>
    <hyperlink ref="C139" r:id="rId38" display="http://www.chinatimes.com/money/securities?page=6"/>
    <hyperlink ref="C140" r:id="rId39" display="http://www.chinatimes.com/money/securities?page=7"/>
    <hyperlink ref="C141" r:id="rId40" display="http://www.chinatimes.com/money/securities?page=8"/>
    <hyperlink ref="C142" r:id="rId41" display="http://www.chinatimes.com/money/securities?page=9"/>
    <hyperlink ref="C143" r:id="rId42" display="http://www.chinatimes.com/money/securities?page=10"/>
    <hyperlink ref="C144" r:id="rId43" display="http://www.chinatimes.com/money/securities?page=2"/>
    <hyperlink ref="C145" r:id="rId44" display="http://www.chinatimes.com/money/securities?page=10"/>
    <hyperlink ref="C147" r:id="rId45" display="http://www.chinatimes.com/realtimenews/20160308001933-260410"/>
    <hyperlink ref="C151" r:id="rId46" tooltip="油價續彈！美股收漲67點 連5紅" display="http://www.chinatimes.com/realtimenews/20160308001076-260410"/>
    <hyperlink ref="C153" r:id="rId47" display="http://www.chinatimes.com/realtimenews/20160308001076-260410"/>
    <hyperlink ref="C158" r:id="rId48" display="http://www.chinatimes.com/newspapers/20160308000047-260202"/>
    <hyperlink ref="C160" r:id="rId49" display="http://www.chinatimes.com/newspapers/20160308000189-260206"/>
    <hyperlink ref="C162" r:id="rId50" display="http://www.chinatimes.com/realtimenews/20160308001076-260410"/>
    <hyperlink ref="C164" r:id="rId51" display="http://www.chinatimes.com/newspapers/20160308000060-260202"/>
    <hyperlink ref="C166" r:id="rId52" display="http://www.chinatimes.com/newspapers/20160308000043-260202"/>
    <hyperlink ref="C170" r:id="rId53" display="https://www.facebook.com/CTfans"/>
    <hyperlink ref="C172" location="top" display="top"/>
  </hyperlinks>
  <pageMargins left="0.7" right="0.7" top="0.75" bottom="0.75" header="0.3" footer="0.3"/>
  <pageSetup paperSize="9" orientation="portrait" r:id="rId5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 enableFormatConditionsCalculation="0"/>
  <dimension ref="A2:C292"/>
  <sheetViews>
    <sheetView topLeftCell="A88" workbookViewId="0">
      <selection activeCell="C12" sqref="C12:C147"/>
    </sheetView>
  </sheetViews>
  <sheetFormatPr baseColWidth="10" defaultColWidth="8.83203125" defaultRowHeight="15" x14ac:dyDescent="0.15"/>
  <cols>
    <col min="3" max="3" width="8.5" customWidth="1"/>
  </cols>
  <sheetData>
    <row r="2" spans="1:3" x14ac:dyDescent="0.15">
      <c r="A2" t="str">
        <f>LEFT(C2)</f>
        <v>首</v>
      </c>
      <c r="B2">
        <f>LEN(C2)</f>
        <v>2</v>
      </c>
      <c r="C2" s="2" t="s">
        <v>0</v>
      </c>
    </row>
    <row r="3" spans="1:3" hidden="1" x14ac:dyDescent="0.15">
      <c r="A3" t="str">
        <f t="shared" ref="A3:A47" si="0">LEFT(C3)</f>
        <v/>
      </c>
      <c r="B3">
        <f t="shared" ref="B3:B47" si="1">LEN(C3)</f>
        <v>0</v>
      </c>
      <c r="C3" s="1"/>
    </row>
    <row r="4" spans="1:3" hidden="1" x14ac:dyDescent="0.15">
      <c r="A4" t="str">
        <f t="shared" si="0"/>
        <v>財</v>
      </c>
      <c r="B4">
        <f t="shared" si="1"/>
        <v>2</v>
      </c>
      <c r="C4" s="2" t="s">
        <v>1</v>
      </c>
    </row>
    <row r="5" spans="1:3" hidden="1" x14ac:dyDescent="0.15">
      <c r="A5" t="str">
        <f t="shared" si="0"/>
        <v/>
      </c>
      <c r="B5">
        <f t="shared" si="1"/>
        <v>0</v>
      </c>
      <c r="C5" s="1"/>
    </row>
    <row r="6" spans="1:3" hidden="1" x14ac:dyDescent="0.15">
      <c r="A6" t="str">
        <f t="shared" si="0"/>
        <v>證</v>
      </c>
      <c r="B6">
        <f t="shared" si="1"/>
        <v>2</v>
      </c>
      <c r="C6" s="2" t="s">
        <v>159</v>
      </c>
    </row>
    <row r="7" spans="1:3" hidden="1" x14ac:dyDescent="0.15">
      <c r="A7" t="str">
        <f t="shared" si="0"/>
        <v/>
      </c>
      <c r="B7">
        <f t="shared" si="1"/>
        <v>0</v>
      </c>
    </row>
    <row r="8" spans="1:3" ht="18" hidden="1" x14ac:dyDescent="0.15">
      <c r="A8" t="str">
        <f t="shared" si="0"/>
        <v>新</v>
      </c>
      <c r="B8">
        <f t="shared" si="1"/>
        <v>4</v>
      </c>
      <c r="C8" s="24" t="s">
        <v>3</v>
      </c>
    </row>
    <row r="9" spans="1:3" hidden="1" x14ac:dyDescent="0.15">
      <c r="A9" t="str">
        <f t="shared" si="0"/>
        <v/>
      </c>
      <c r="B9">
        <f t="shared" si="1"/>
        <v>0</v>
      </c>
      <c r="C9" s="3"/>
    </row>
    <row r="10" spans="1:3" ht="18" x14ac:dyDescent="0.15">
      <c r="A10" t="str">
        <f t="shared" si="0"/>
        <v>財</v>
      </c>
      <c r="B10">
        <f t="shared" si="1"/>
        <v>11</v>
      </c>
      <c r="C10" s="24" t="s">
        <v>161</v>
      </c>
    </row>
    <row r="11" spans="1:3" hidden="1" x14ac:dyDescent="0.15">
      <c r="A11" t="str">
        <f t="shared" si="0"/>
        <v/>
      </c>
      <c r="B11">
        <f t="shared" si="1"/>
        <v>0</v>
      </c>
      <c r="C11" s="1"/>
    </row>
    <row r="12" spans="1:3" x14ac:dyDescent="0.15">
      <c r="A12" t="str">
        <f t="shared" si="0"/>
        <v>《</v>
      </c>
      <c r="B12">
        <f t="shared" si="1"/>
        <v>28</v>
      </c>
      <c r="C12" s="2" t="s">
        <v>3810</v>
      </c>
    </row>
    <row r="13" spans="1:3" hidden="1" x14ac:dyDescent="0.15">
      <c r="A13" t="str">
        <f t="shared" si="0"/>
        <v/>
      </c>
      <c r="B13">
        <f t="shared" si="1"/>
        <v>0</v>
      </c>
      <c r="C13" s="1"/>
    </row>
    <row r="14" spans="1:3" hidden="1" x14ac:dyDescent="0.15">
      <c r="A14" t="str">
        <f t="shared" si="0"/>
        <v>0</v>
      </c>
      <c r="B14">
        <f t="shared" si="1"/>
        <v>12</v>
      </c>
      <c r="C14" s="59" t="s">
        <v>3811</v>
      </c>
    </row>
    <row r="15" spans="1:3" hidden="1" x14ac:dyDescent="0.15">
      <c r="A15" t="str">
        <f t="shared" si="0"/>
        <v/>
      </c>
      <c r="B15">
        <f t="shared" si="1"/>
        <v>0</v>
      </c>
      <c r="C15" s="1"/>
    </row>
    <row r="16" spans="1:3" x14ac:dyDescent="0.15">
      <c r="A16" t="str">
        <f t="shared" si="0"/>
        <v>權</v>
      </c>
      <c r="B16">
        <f t="shared" si="1"/>
        <v>25</v>
      </c>
      <c r="C16" s="2" t="s">
        <v>3812</v>
      </c>
    </row>
    <row r="17" spans="1:3" hidden="1" x14ac:dyDescent="0.15">
      <c r="A17" t="str">
        <f t="shared" si="0"/>
        <v/>
      </c>
      <c r="B17">
        <f t="shared" si="1"/>
        <v>0</v>
      </c>
      <c r="C17" s="1"/>
    </row>
    <row r="18" spans="1:3" hidden="1" x14ac:dyDescent="0.15">
      <c r="A18" t="str">
        <f t="shared" si="0"/>
        <v>0</v>
      </c>
      <c r="B18">
        <f t="shared" si="1"/>
        <v>11</v>
      </c>
      <c r="C18" s="59" t="s">
        <v>3813</v>
      </c>
    </row>
    <row r="19" spans="1:3" hidden="1" x14ac:dyDescent="0.15">
      <c r="A19" t="str">
        <f t="shared" si="0"/>
        <v/>
      </c>
      <c r="B19">
        <f t="shared" si="1"/>
        <v>0</v>
      </c>
      <c r="C19" s="1"/>
    </row>
    <row r="20" spans="1:3" x14ac:dyDescent="0.15">
      <c r="A20" t="str">
        <f t="shared" si="0"/>
        <v>權</v>
      </c>
      <c r="B20">
        <f t="shared" si="1"/>
        <v>23</v>
      </c>
      <c r="C20" s="2" t="s">
        <v>3814</v>
      </c>
    </row>
    <row r="21" spans="1:3" hidden="1" x14ac:dyDescent="0.15">
      <c r="A21" t="str">
        <f t="shared" si="0"/>
        <v/>
      </c>
      <c r="B21">
        <f t="shared" si="1"/>
        <v>0</v>
      </c>
      <c r="C21" s="1"/>
    </row>
    <row r="22" spans="1:3" hidden="1" x14ac:dyDescent="0.15">
      <c r="A22" t="str">
        <f t="shared" si="0"/>
        <v>0</v>
      </c>
      <c r="B22">
        <f t="shared" si="1"/>
        <v>12</v>
      </c>
      <c r="C22" s="59" t="s">
        <v>3815</v>
      </c>
    </row>
    <row r="23" spans="1:3" hidden="1" x14ac:dyDescent="0.15">
      <c r="A23" t="str">
        <f t="shared" si="0"/>
        <v/>
      </c>
      <c r="B23">
        <f t="shared" si="1"/>
        <v>0</v>
      </c>
      <c r="C23" s="1"/>
    </row>
    <row r="24" spans="1:3" x14ac:dyDescent="0.15">
      <c r="A24" t="str">
        <f t="shared" si="0"/>
        <v>獲</v>
      </c>
      <c r="B24">
        <f t="shared" si="1"/>
        <v>12</v>
      </c>
      <c r="C24" s="2" t="s">
        <v>3816</v>
      </c>
    </row>
    <row r="25" spans="1:3" hidden="1" x14ac:dyDescent="0.15">
      <c r="A25" t="str">
        <f t="shared" si="0"/>
        <v/>
      </c>
      <c r="B25">
        <f t="shared" si="1"/>
        <v>0</v>
      </c>
      <c r="C25" s="1"/>
    </row>
    <row r="26" spans="1:3" hidden="1" x14ac:dyDescent="0.15">
      <c r="A26" t="str">
        <f t="shared" si="0"/>
        <v>0</v>
      </c>
      <c r="B26">
        <f t="shared" si="1"/>
        <v>12</v>
      </c>
      <c r="C26" s="59" t="s">
        <v>3817</v>
      </c>
    </row>
    <row r="27" spans="1:3" hidden="1" x14ac:dyDescent="0.15">
      <c r="A27" t="str">
        <f t="shared" si="0"/>
        <v/>
      </c>
      <c r="B27">
        <f t="shared" si="1"/>
        <v>0</v>
      </c>
      <c r="C27" s="1"/>
    </row>
    <row r="28" spans="1:3" x14ac:dyDescent="0.15">
      <c r="A28" t="str">
        <f t="shared" si="0"/>
        <v>業</v>
      </c>
      <c r="B28">
        <f t="shared" si="1"/>
        <v>20</v>
      </c>
      <c r="C28" s="2" t="s">
        <v>3818</v>
      </c>
    </row>
    <row r="29" spans="1:3" hidden="1" x14ac:dyDescent="0.15">
      <c r="A29" t="str">
        <f t="shared" si="0"/>
        <v/>
      </c>
      <c r="B29">
        <f t="shared" si="1"/>
        <v>0</v>
      </c>
      <c r="C29" s="1"/>
    </row>
    <row r="30" spans="1:3" hidden="1" x14ac:dyDescent="0.15">
      <c r="A30" t="str">
        <f t="shared" si="0"/>
        <v>0</v>
      </c>
      <c r="B30">
        <f t="shared" si="1"/>
        <v>12</v>
      </c>
      <c r="C30" s="59" t="s">
        <v>3819</v>
      </c>
    </row>
    <row r="31" spans="1:3" hidden="1" x14ac:dyDescent="0.15">
      <c r="A31" t="str">
        <f t="shared" si="0"/>
        <v/>
      </c>
      <c r="B31">
        <f t="shared" si="1"/>
        <v>0</v>
      </c>
      <c r="C31" s="1"/>
    </row>
    <row r="32" spans="1:3" x14ac:dyDescent="0.15">
      <c r="A32" t="str">
        <f t="shared" si="0"/>
        <v>突</v>
      </c>
      <c r="B32">
        <f t="shared" si="1"/>
        <v>15</v>
      </c>
      <c r="C32" s="2" t="s">
        <v>3820</v>
      </c>
    </row>
    <row r="33" spans="1:3" hidden="1" x14ac:dyDescent="0.15">
      <c r="A33" t="str">
        <f t="shared" si="0"/>
        <v/>
      </c>
      <c r="B33">
        <f t="shared" si="1"/>
        <v>0</v>
      </c>
      <c r="C33" s="1"/>
    </row>
    <row r="34" spans="1:3" hidden="1" x14ac:dyDescent="0.15">
      <c r="A34" t="str">
        <f t="shared" si="0"/>
        <v>0</v>
      </c>
      <c r="B34">
        <f t="shared" si="1"/>
        <v>12</v>
      </c>
      <c r="C34" s="59" t="s">
        <v>3821</v>
      </c>
    </row>
    <row r="35" spans="1:3" hidden="1" x14ac:dyDescent="0.15">
      <c r="A35" t="str">
        <f t="shared" si="0"/>
        <v/>
      </c>
      <c r="B35">
        <f t="shared" si="1"/>
        <v>0</v>
      </c>
      <c r="C35" s="1"/>
    </row>
    <row r="36" spans="1:3" x14ac:dyDescent="0.15">
      <c r="A36" t="str">
        <f t="shared" si="0"/>
        <v>E</v>
      </c>
      <c r="B36">
        <f t="shared" si="1"/>
        <v>19</v>
      </c>
      <c r="C36" s="2" t="s">
        <v>3822</v>
      </c>
    </row>
    <row r="37" spans="1:3" hidden="1" x14ac:dyDescent="0.15">
      <c r="A37" t="str">
        <f t="shared" si="0"/>
        <v/>
      </c>
      <c r="B37">
        <f t="shared" si="1"/>
        <v>0</v>
      </c>
      <c r="C37" s="1"/>
    </row>
    <row r="38" spans="1:3" hidden="1" x14ac:dyDescent="0.15">
      <c r="A38" t="str">
        <f t="shared" si="0"/>
        <v>0</v>
      </c>
      <c r="B38">
        <f t="shared" si="1"/>
        <v>12</v>
      </c>
      <c r="C38" s="59" t="s">
        <v>3823</v>
      </c>
    </row>
    <row r="39" spans="1:3" hidden="1" x14ac:dyDescent="0.15">
      <c r="A39" t="str">
        <f t="shared" si="0"/>
        <v/>
      </c>
      <c r="B39">
        <f t="shared" si="1"/>
        <v>0</v>
      </c>
      <c r="C39" s="1"/>
    </row>
    <row r="40" spans="1:3" x14ac:dyDescent="0.15">
      <c r="A40" t="str">
        <f t="shared" si="0"/>
        <v>人</v>
      </c>
      <c r="B40">
        <f t="shared" si="1"/>
        <v>24</v>
      </c>
      <c r="C40" s="2" t="s">
        <v>3824</v>
      </c>
    </row>
    <row r="41" spans="1:3" hidden="1" x14ac:dyDescent="0.15">
      <c r="A41" t="str">
        <f t="shared" si="0"/>
        <v/>
      </c>
      <c r="B41">
        <f t="shared" si="1"/>
        <v>0</v>
      </c>
      <c r="C41" s="1"/>
    </row>
    <row r="42" spans="1:3" hidden="1" x14ac:dyDescent="0.15">
      <c r="A42" t="str">
        <f t="shared" si="0"/>
        <v>0</v>
      </c>
      <c r="B42">
        <f t="shared" si="1"/>
        <v>11</v>
      </c>
      <c r="C42" s="59" t="s">
        <v>3825</v>
      </c>
    </row>
    <row r="43" spans="1:3" hidden="1" x14ac:dyDescent="0.15">
      <c r="A43" t="str">
        <f t="shared" si="0"/>
        <v/>
      </c>
      <c r="B43">
        <f t="shared" si="1"/>
        <v>0</v>
      </c>
      <c r="C43" s="1"/>
    </row>
    <row r="44" spans="1:3" x14ac:dyDescent="0.15">
      <c r="A44" t="str">
        <f t="shared" si="0"/>
        <v>逆</v>
      </c>
      <c r="B44">
        <f t="shared" si="1"/>
        <v>12</v>
      </c>
      <c r="C44" s="2" t="s">
        <v>3826</v>
      </c>
    </row>
    <row r="45" spans="1:3" hidden="1" x14ac:dyDescent="0.15">
      <c r="A45" t="str">
        <f t="shared" si="0"/>
        <v/>
      </c>
      <c r="B45">
        <f t="shared" si="1"/>
        <v>0</v>
      </c>
      <c r="C45" s="1"/>
    </row>
    <row r="46" spans="1:3" hidden="1" x14ac:dyDescent="0.15">
      <c r="A46" t="str">
        <f t="shared" si="0"/>
        <v>0</v>
      </c>
      <c r="B46">
        <f t="shared" si="1"/>
        <v>12</v>
      </c>
      <c r="C46" s="59" t="s">
        <v>3827</v>
      </c>
    </row>
    <row r="47" spans="1:3" hidden="1" x14ac:dyDescent="0.15">
      <c r="A47" t="str">
        <f t="shared" si="0"/>
        <v/>
      </c>
      <c r="B47">
        <f t="shared" si="1"/>
        <v>0</v>
      </c>
      <c r="C47" s="1"/>
    </row>
    <row r="48" spans="1:3" x14ac:dyDescent="0.15">
      <c r="A48" t="str">
        <f>LEFT(C48)</f>
        <v>明</v>
      </c>
      <c r="B48">
        <f>LEN(C48)</f>
        <v>22</v>
      </c>
      <c r="C48" s="2" t="s">
        <v>3828</v>
      </c>
    </row>
    <row r="49" spans="1:3" hidden="1" x14ac:dyDescent="0.15">
      <c r="A49" t="str">
        <f t="shared" ref="A49:A112" si="2">LEFT(C49)</f>
        <v/>
      </c>
      <c r="B49">
        <f t="shared" ref="B49:B112" si="3">LEN(C49)</f>
        <v>0</v>
      </c>
      <c r="C49" s="1"/>
    </row>
    <row r="50" spans="1:3" hidden="1" x14ac:dyDescent="0.15">
      <c r="A50" t="str">
        <f t="shared" si="2"/>
        <v>0</v>
      </c>
      <c r="B50">
        <f t="shared" si="3"/>
        <v>12</v>
      </c>
      <c r="C50" s="59" t="s">
        <v>3714</v>
      </c>
    </row>
    <row r="51" spans="1:3" hidden="1" x14ac:dyDescent="0.15">
      <c r="A51" t="str">
        <f t="shared" si="2"/>
        <v/>
      </c>
      <c r="B51">
        <f t="shared" si="3"/>
        <v>0</v>
      </c>
      <c r="C51" s="1"/>
    </row>
    <row r="52" spans="1:3" x14ac:dyDescent="0.15">
      <c r="A52" t="str">
        <f t="shared" si="2"/>
        <v>明</v>
      </c>
      <c r="B52">
        <f t="shared" si="3"/>
        <v>22</v>
      </c>
      <c r="C52" s="2" t="s">
        <v>3829</v>
      </c>
    </row>
    <row r="53" spans="1:3" hidden="1" x14ac:dyDescent="0.15">
      <c r="A53" t="str">
        <f t="shared" si="2"/>
        <v/>
      </c>
      <c r="B53">
        <f t="shared" si="3"/>
        <v>0</v>
      </c>
      <c r="C53" s="1"/>
    </row>
    <row r="54" spans="1:3" hidden="1" x14ac:dyDescent="0.15">
      <c r="A54" t="str">
        <f t="shared" si="2"/>
        <v>0</v>
      </c>
      <c r="B54">
        <f t="shared" si="3"/>
        <v>12</v>
      </c>
      <c r="C54" s="59" t="s">
        <v>3830</v>
      </c>
    </row>
    <row r="55" spans="1:3" hidden="1" x14ac:dyDescent="0.15">
      <c r="A55" t="str">
        <f t="shared" si="2"/>
        <v/>
      </c>
      <c r="B55">
        <f t="shared" si="3"/>
        <v>0</v>
      </c>
      <c r="C55" s="1"/>
    </row>
    <row r="56" spans="1:3" x14ac:dyDescent="0.15">
      <c r="A56" t="str">
        <f t="shared" si="2"/>
        <v>投</v>
      </c>
      <c r="B56">
        <f t="shared" si="3"/>
        <v>13</v>
      </c>
      <c r="C56" s="2" t="s">
        <v>3831</v>
      </c>
    </row>
    <row r="57" spans="1:3" hidden="1" x14ac:dyDescent="0.15">
      <c r="A57" t="str">
        <f t="shared" si="2"/>
        <v/>
      </c>
      <c r="B57">
        <f t="shared" si="3"/>
        <v>0</v>
      </c>
      <c r="C57" s="1"/>
    </row>
    <row r="58" spans="1:3" hidden="1" x14ac:dyDescent="0.15">
      <c r="A58" t="str">
        <f t="shared" si="2"/>
        <v>0</v>
      </c>
      <c r="B58">
        <f t="shared" si="3"/>
        <v>12</v>
      </c>
      <c r="C58" s="59" t="s">
        <v>3832</v>
      </c>
    </row>
    <row r="59" spans="1:3" hidden="1" x14ac:dyDescent="0.15">
      <c r="A59" t="str">
        <f t="shared" si="2"/>
        <v/>
      </c>
      <c r="B59">
        <f t="shared" si="3"/>
        <v>0</v>
      </c>
      <c r="C59" s="1"/>
    </row>
    <row r="60" spans="1:3" x14ac:dyDescent="0.15">
      <c r="A60" t="str">
        <f t="shared" si="2"/>
        <v>穩</v>
      </c>
      <c r="B60">
        <f t="shared" si="3"/>
        <v>10</v>
      </c>
      <c r="C60" s="2" t="s">
        <v>3833</v>
      </c>
    </row>
    <row r="61" spans="1:3" hidden="1" x14ac:dyDescent="0.15">
      <c r="A61" t="str">
        <f t="shared" si="2"/>
        <v/>
      </c>
      <c r="B61">
        <f t="shared" si="3"/>
        <v>0</v>
      </c>
      <c r="C61" s="1"/>
    </row>
    <row r="62" spans="1:3" hidden="1" x14ac:dyDescent="0.15">
      <c r="A62" t="str">
        <f t="shared" si="2"/>
        <v>0</v>
      </c>
      <c r="B62">
        <f t="shared" si="3"/>
        <v>13</v>
      </c>
      <c r="C62" s="59" t="s">
        <v>3834</v>
      </c>
    </row>
    <row r="63" spans="1:3" hidden="1" x14ac:dyDescent="0.15">
      <c r="A63" t="str">
        <f t="shared" si="2"/>
        <v/>
      </c>
      <c r="B63">
        <f t="shared" si="3"/>
        <v>0</v>
      </c>
      <c r="C63" s="1"/>
    </row>
    <row r="64" spans="1:3" x14ac:dyDescent="0.15">
      <c r="A64" t="str">
        <f t="shared" si="2"/>
        <v>熱</v>
      </c>
      <c r="B64">
        <f t="shared" si="3"/>
        <v>15</v>
      </c>
      <c r="C64" s="2" t="s">
        <v>3835</v>
      </c>
    </row>
    <row r="65" spans="1:3" hidden="1" x14ac:dyDescent="0.15">
      <c r="A65" t="str">
        <f t="shared" si="2"/>
        <v/>
      </c>
      <c r="B65">
        <f t="shared" si="3"/>
        <v>0</v>
      </c>
      <c r="C65" s="1"/>
    </row>
    <row r="66" spans="1:3" hidden="1" x14ac:dyDescent="0.15">
      <c r="A66" t="str">
        <f t="shared" si="2"/>
        <v>0</v>
      </c>
      <c r="B66">
        <f t="shared" si="3"/>
        <v>12</v>
      </c>
      <c r="C66" s="59" t="s">
        <v>3836</v>
      </c>
    </row>
    <row r="67" spans="1:3" hidden="1" x14ac:dyDescent="0.15">
      <c r="A67" t="str">
        <f t="shared" si="2"/>
        <v/>
      </c>
      <c r="B67">
        <f t="shared" si="3"/>
        <v>0</v>
      </c>
      <c r="C67" s="1"/>
    </row>
    <row r="68" spans="1:3" x14ac:dyDescent="0.15">
      <c r="A68" t="str">
        <f t="shared" si="2"/>
        <v>熱</v>
      </c>
      <c r="B68">
        <f t="shared" si="3"/>
        <v>15</v>
      </c>
      <c r="C68" s="2" t="s">
        <v>3837</v>
      </c>
    </row>
    <row r="69" spans="1:3" hidden="1" x14ac:dyDescent="0.15">
      <c r="A69" t="str">
        <f t="shared" si="2"/>
        <v/>
      </c>
      <c r="B69">
        <f t="shared" si="3"/>
        <v>0</v>
      </c>
      <c r="C69" s="1"/>
    </row>
    <row r="70" spans="1:3" hidden="1" x14ac:dyDescent="0.15">
      <c r="A70" t="str">
        <f t="shared" si="2"/>
        <v>0</v>
      </c>
      <c r="B70">
        <f t="shared" si="3"/>
        <v>12</v>
      </c>
      <c r="C70" s="59" t="s">
        <v>3838</v>
      </c>
    </row>
    <row r="71" spans="1:3" hidden="1" x14ac:dyDescent="0.15">
      <c r="A71" t="str">
        <f t="shared" si="2"/>
        <v/>
      </c>
      <c r="B71">
        <f t="shared" si="3"/>
        <v>0</v>
      </c>
      <c r="C71" s="1"/>
    </row>
    <row r="72" spans="1:3" x14ac:dyDescent="0.15">
      <c r="A72" t="str">
        <f t="shared" si="2"/>
        <v>股</v>
      </c>
      <c r="B72">
        <f t="shared" si="3"/>
        <v>23</v>
      </c>
      <c r="C72" s="2" t="s">
        <v>3839</v>
      </c>
    </row>
    <row r="73" spans="1:3" hidden="1" x14ac:dyDescent="0.15">
      <c r="A73" t="str">
        <f t="shared" si="2"/>
        <v/>
      </c>
      <c r="B73">
        <f t="shared" si="3"/>
        <v>0</v>
      </c>
      <c r="C73" s="1"/>
    </row>
    <row r="74" spans="1:3" hidden="1" x14ac:dyDescent="0.15">
      <c r="A74" t="str">
        <f t="shared" si="2"/>
        <v>0</v>
      </c>
      <c r="B74">
        <f t="shared" si="3"/>
        <v>12</v>
      </c>
      <c r="C74" s="59" t="s">
        <v>3840</v>
      </c>
    </row>
    <row r="75" spans="1:3" hidden="1" x14ac:dyDescent="0.15">
      <c r="A75" t="str">
        <f t="shared" si="2"/>
        <v/>
      </c>
      <c r="B75">
        <f t="shared" si="3"/>
        <v>0</v>
      </c>
      <c r="C75" s="1"/>
    </row>
    <row r="76" spans="1:3" x14ac:dyDescent="0.15">
      <c r="A76" t="str">
        <f t="shared" si="2"/>
        <v>股</v>
      </c>
      <c r="B76">
        <f t="shared" si="3"/>
        <v>17</v>
      </c>
      <c r="C76" s="2" t="s">
        <v>3841</v>
      </c>
    </row>
    <row r="77" spans="1:3" hidden="1" x14ac:dyDescent="0.15">
      <c r="A77" t="str">
        <f t="shared" si="2"/>
        <v/>
      </c>
      <c r="B77">
        <f t="shared" si="3"/>
        <v>0</v>
      </c>
      <c r="C77" s="1"/>
    </row>
    <row r="78" spans="1:3" hidden="1" x14ac:dyDescent="0.15">
      <c r="A78" t="str">
        <f t="shared" si="2"/>
        <v>0</v>
      </c>
      <c r="B78">
        <f t="shared" si="3"/>
        <v>12</v>
      </c>
      <c r="C78" s="59" t="s">
        <v>3842</v>
      </c>
    </row>
    <row r="79" spans="1:3" hidden="1" x14ac:dyDescent="0.15">
      <c r="A79" t="str">
        <f t="shared" si="2"/>
        <v/>
      </c>
      <c r="B79">
        <f t="shared" si="3"/>
        <v>0</v>
      </c>
      <c r="C79" s="1"/>
    </row>
    <row r="80" spans="1:3" x14ac:dyDescent="0.15">
      <c r="A80" t="str">
        <f t="shared" si="2"/>
        <v>股</v>
      </c>
      <c r="B80">
        <f t="shared" si="3"/>
        <v>20</v>
      </c>
      <c r="C80" s="2" t="s">
        <v>3843</v>
      </c>
    </row>
    <row r="81" spans="1:3" hidden="1" x14ac:dyDescent="0.15">
      <c r="A81" t="str">
        <f t="shared" si="2"/>
        <v/>
      </c>
      <c r="B81">
        <f t="shared" si="3"/>
        <v>0</v>
      </c>
      <c r="C81" s="1"/>
    </row>
    <row r="82" spans="1:3" hidden="1" x14ac:dyDescent="0.15">
      <c r="A82" t="str">
        <f t="shared" si="2"/>
        <v>0</v>
      </c>
      <c r="B82">
        <f t="shared" si="3"/>
        <v>12</v>
      </c>
      <c r="C82" s="59" t="s">
        <v>3844</v>
      </c>
    </row>
    <row r="83" spans="1:3" hidden="1" x14ac:dyDescent="0.15">
      <c r="A83" t="str">
        <f t="shared" si="2"/>
        <v/>
      </c>
      <c r="B83">
        <f t="shared" si="3"/>
        <v>0</v>
      </c>
      <c r="C83" s="1"/>
    </row>
    <row r="84" spans="1:3" x14ac:dyDescent="0.15">
      <c r="A84" t="str">
        <f t="shared" si="2"/>
        <v>孫</v>
      </c>
      <c r="B84">
        <f t="shared" si="3"/>
        <v>27</v>
      </c>
      <c r="C84" s="2" t="s">
        <v>3845</v>
      </c>
    </row>
    <row r="85" spans="1:3" hidden="1" x14ac:dyDescent="0.15">
      <c r="A85" t="str">
        <f t="shared" si="2"/>
        <v/>
      </c>
      <c r="B85">
        <f t="shared" si="3"/>
        <v>0</v>
      </c>
      <c r="C85" s="1"/>
    </row>
    <row r="86" spans="1:3" hidden="1" x14ac:dyDescent="0.15">
      <c r="A86" t="str">
        <f t="shared" si="2"/>
        <v>0</v>
      </c>
      <c r="B86">
        <f t="shared" si="3"/>
        <v>12</v>
      </c>
      <c r="C86" s="59" t="s">
        <v>3846</v>
      </c>
    </row>
    <row r="87" spans="1:3" hidden="1" x14ac:dyDescent="0.15">
      <c r="A87" t="str">
        <f t="shared" si="2"/>
        <v/>
      </c>
      <c r="B87">
        <f t="shared" si="3"/>
        <v>0</v>
      </c>
      <c r="C87" s="1"/>
    </row>
    <row r="88" spans="1:3" x14ac:dyDescent="0.15">
      <c r="A88" t="str">
        <f t="shared" si="2"/>
        <v>雄</v>
      </c>
      <c r="B88">
        <f t="shared" si="3"/>
        <v>15</v>
      </c>
      <c r="C88" s="2" t="s">
        <v>3847</v>
      </c>
    </row>
    <row r="89" spans="1:3" hidden="1" x14ac:dyDescent="0.15">
      <c r="A89" t="str">
        <f t="shared" si="2"/>
        <v/>
      </c>
      <c r="B89">
        <f t="shared" si="3"/>
        <v>0</v>
      </c>
      <c r="C89" s="1"/>
    </row>
    <row r="90" spans="1:3" hidden="1" x14ac:dyDescent="0.15">
      <c r="A90" t="str">
        <f t="shared" si="2"/>
        <v>0</v>
      </c>
      <c r="B90">
        <f t="shared" si="3"/>
        <v>12</v>
      </c>
      <c r="C90" s="59" t="s">
        <v>3848</v>
      </c>
    </row>
    <row r="91" spans="1:3" hidden="1" x14ac:dyDescent="0.15">
      <c r="A91" t="str">
        <f t="shared" si="2"/>
        <v/>
      </c>
      <c r="B91">
        <f t="shared" si="3"/>
        <v>0</v>
      </c>
      <c r="C91" s="1"/>
    </row>
    <row r="92" spans="1:3" x14ac:dyDescent="0.15">
      <c r="A92" t="str">
        <f t="shared" si="2"/>
        <v>F</v>
      </c>
      <c r="B92">
        <f t="shared" si="3"/>
        <v>14</v>
      </c>
      <c r="C92" s="2" t="s">
        <v>3849</v>
      </c>
    </row>
    <row r="93" spans="1:3" hidden="1" x14ac:dyDescent="0.15">
      <c r="A93" t="str">
        <f t="shared" si="2"/>
        <v/>
      </c>
      <c r="B93">
        <f t="shared" si="3"/>
        <v>0</v>
      </c>
      <c r="C93" s="1"/>
    </row>
    <row r="94" spans="1:3" hidden="1" x14ac:dyDescent="0.15">
      <c r="A94" t="str">
        <f t="shared" si="2"/>
        <v>0</v>
      </c>
      <c r="B94">
        <f t="shared" si="3"/>
        <v>12</v>
      </c>
      <c r="C94" s="59" t="s">
        <v>3850</v>
      </c>
    </row>
    <row r="95" spans="1:3" hidden="1" x14ac:dyDescent="0.15">
      <c r="A95" t="str">
        <f t="shared" si="2"/>
        <v/>
      </c>
      <c r="B95">
        <f t="shared" si="3"/>
        <v>0</v>
      </c>
      <c r="C95" s="1"/>
    </row>
    <row r="96" spans="1:3" x14ac:dyDescent="0.15">
      <c r="A96" t="str">
        <f t="shared" si="2"/>
        <v>雃</v>
      </c>
      <c r="B96">
        <f t="shared" si="3"/>
        <v>15</v>
      </c>
      <c r="C96" s="2" t="s">
        <v>3851</v>
      </c>
    </row>
    <row r="97" spans="1:3" hidden="1" x14ac:dyDescent="0.15">
      <c r="A97" t="str">
        <f t="shared" si="2"/>
        <v/>
      </c>
      <c r="B97">
        <f t="shared" si="3"/>
        <v>0</v>
      </c>
      <c r="C97" s="1"/>
    </row>
    <row r="98" spans="1:3" hidden="1" x14ac:dyDescent="0.15">
      <c r="A98" t="str">
        <f t="shared" si="2"/>
        <v>0</v>
      </c>
      <c r="B98">
        <f t="shared" si="3"/>
        <v>13</v>
      </c>
      <c r="C98" s="59" t="s">
        <v>3852</v>
      </c>
    </row>
    <row r="99" spans="1:3" hidden="1" x14ac:dyDescent="0.15">
      <c r="A99" t="str">
        <f t="shared" si="2"/>
        <v/>
      </c>
      <c r="B99">
        <f t="shared" si="3"/>
        <v>0</v>
      </c>
      <c r="C99" s="1"/>
    </row>
    <row r="100" spans="1:3" x14ac:dyDescent="0.15">
      <c r="A100" t="str">
        <f t="shared" si="2"/>
        <v>豐</v>
      </c>
      <c r="B100">
        <f t="shared" si="3"/>
        <v>13</v>
      </c>
      <c r="C100" s="2" t="s">
        <v>3853</v>
      </c>
    </row>
    <row r="101" spans="1:3" hidden="1" x14ac:dyDescent="0.15">
      <c r="A101" t="str">
        <f t="shared" si="2"/>
        <v/>
      </c>
      <c r="B101">
        <f t="shared" si="3"/>
        <v>0</v>
      </c>
      <c r="C101" s="1"/>
    </row>
    <row r="102" spans="1:3" hidden="1" x14ac:dyDescent="0.15">
      <c r="A102" t="str">
        <f t="shared" si="2"/>
        <v>0</v>
      </c>
      <c r="B102">
        <f t="shared" si="3"/>
        <v>12</v>
      </c>
      <c r="C102" s="59" t="s">
        <v>3854</v>
      </c>
    </row>
    <row r="103" spans="1:3" hidden="1" x14ac:dyDescent="0.15">
      <c r="A103" t="str">
        <f t="shared" si="2"/>
        <v/>
      </c>
      <c r="B103">
        <f t="shared" si="3"/>
        <v>0</v>
      </c>
      <c r="C103" s="1"/>
    </row>
    <row r="104" spans="1:3" x14ac:dyDescent="0.15">
      <c r="A104" t="str">
        <f t="shared" si="2"/>
        <v>鎳</v>
      </c>
      <c r="B104">
        <f t="shared" si="3"/>
        <v>13</v>
      </c>
      <c r="C104" s="2" t="s">
        <v>3855</v>
      </c>
    </row>
    <row r="105" spans="1:3" hidden="1" x14ac:dyDescent="0.15">
      <c r="A105" t="str">
        <f t="shared" si="2"/>
        <v/>
      </c>
      <c r="B105">
        <f t="shared" si="3"/>
        <v>0</v>
      </c>
      <c r="C105" s="1"/>
    </row>
    <row r="106" spans="1:3" hidden="1" x14ac:dyDescent="0.15">
      <c r="A106" t="str">
        <f t="shared" si="2"/>
        <v>0</v>
      </c>
      <c r="B106">
        <f t="shared" si="3"/>
        <v>12</v>
      </c>
      <c r="C106" s="59" t="s">
        <v>3856</v>
      </c>
    </row>
    <row r="107" spans="1:3" hidden="1" x14ac:dyDescent="0.15">
      <c r="A107" t="str">
        <f t="shared" si="2"/>
        <v/>
      </c>
      <c r="B107">
        <f t="shared" si="3"/>
        <v>0</v>
      </c>
      <c r="C107" s="1"/>
    </row>
    <row r="108" spans="1:3" x14ac:dyDescent="0.15">
      <c r="A108" t="str">
        <f t="shared" si="2"/>
        <v>熱</v>
      </c>
      <c r="B108">
        <f t="shared" si="3"/>
        <v>15</v>
      </c>
      <c r="C108" s="2" t="s">
        <v>3857</v>
      </c>
    </row>
    <row r="109" spans="1:3" hidden="1" x14ac:dyDescent="0.15">
      <c r="A109" t="str">
        <f t="shared" si="2"/>
        <v/>
      </c>
      <c r="B109">
        <f t="shared" si="3"/>
        <v>0</v>
      </c>
      <c r="C109" s="1"/>
    </row>
    <row r="110" spans="1:3" hidden="1" x14ac:dyDescent="0.15">
      <c r="A110" t="str">
        <f t="shared" si="2"/>
        <v>0</v>
      </c>
      <c r="B110">
        <f t="shared" si="3"/>
        <v>12</v>
      </c>
      <c r="C110" s="59" t="s">
        <v>3858</v>
      </c>
    </row>
    <row r="111" spans="1:3" hidden="1" x14ac:dyDescent="0.15">
      <c r="A111" t="str">
        <f t="shared" si="2"/>
        <v/>
      </c>
      <c r="B111">
        <f t="shared" si="3"/>
        <v>0</v>
      </c>
      <c r="C111" s="1"/>
    </row>
    <row r="112" spans="1:3" x14ac:dyDescent="0.15">
      <c r="A112" t="str">
        <f t="shared" si="2"/>
        <v>熱</v>
      </c>
      <c r="B112">
        <f t="shared" si="3"/>
        <v>16</v>
      </c>
      <c r="C112" s="2" t="s">
        <v>3859</v>
      </c>
    </row>
    <row r="113" spans="1:3" hidden="1" x14ac:dyDescent="0.15">
      <c r="A113" t="str">
        <f t="shared" ref="A113:A171" si="4">LEFT(C113)</f>
        <v/>
      </c>
      <c r="B113">
        <f t="shared" ref="B113:B171" si="5">LEN(C113)</f>
        <v>0</v>
      </c>
      <c r="C113" s="1"/>
    </row>
    <row r="114" spans="1:3" hidden="1" x14ac:dyDescent="0.15">
      <c r="A114" t="str">
        <f t="shared" si="4"/>
        <v>0</v>
      </c>
      <c r="B114">
        <f t="shared" si="5"/>
        <v>12</v>
      </c>
      <c r="C114" s="59" t="s">
        <v>3860</v>
      </c>
    </row>
    <row r="115" spans="1:3" hidden="1" x14ac:dyDescent="0.15">
      <c r="A115" t="str">
        <f t="shared" si="4"/>
        <v/>
      </c>
      <c r="B115">
        <f t="shared" si="5"/>
        <v>0</v>
      </c>
      <c r="C115" s="1"/>
    </row>
    <row r="116" spans="1:3" x14ac:dyDescent="0.15">
      <c r="A116" t="str">
        <f t="shared" si="4"/>
        <v>富</v>
      </c>
      <c r="B116">
        <f t="shared" si="5"/>
        <v>10</v>
      </c>
      <c r="C116" s="2" t="s">
        <v>3861</v>
      </c>
    </row>
    <row r="117" spans="1:3" hidden="1" x14ac:dyDescent="0.15">
      <c r="A117" t="str">
        <f t="shared" si="4"/>
        <v/>
      </c>
      <c r="B117">
        <f t="shared" si="5"/>
        <v>0</v>
      </c>
      <c r="C117" s="1"/>
    </row>
    <row r="118" spans="1:3" hidden="1" x14ac:dyDescent="0.15">
      <c r="A118" t="str">
        <f t="shared" si="4"/>
        <v>0</v>
      </c>
      <c r="B118">
        <f t="shared" si="5"/>
        <v>12</v>
      </c>
      <c r="C118" s="59" t="s">
        <v>3862</v>
      </c>
    </row>
    <row r="119" spans="1:3" hidden="1" x14ac:dyDescent="0.15">
      <c r="A119" t="str">
        <f t="shared" si="4"/>
        <v/>
      </c>
      <c r="B119">
        <f t="shared" si="5"/>
        <v>0</v>
      </c>
      <c r="C119" s="1"/>
    </row>
    <row r="120" spans="1:3" x14ac:dyDescent="0.15">
      <c r="A120" t="str">
        <f t="shared" si="4"/>
        <v>誠</v>
      </c>
      <c r="B120">
        <f t="shared" si="5"/>
        <v>14</v>
      </c>
      <c r="C120" s="2" t="s">
        <v>3863</v>
      </c>
    </row>
    <row r="121" spans="1:3" hidden="1" x14ac:dyDescent="0.15">
      <c r="A121" t="str">
        <f t="shared" si="4"/>
        <v/>
      </c>
      <c r="B121">
        <f t="shared" si="5"/>
        <v>0</v>
      </c>
      <c r="C121" s="1"/>
    </row>
    <row r="122" spans="1:3" hidden="1" x14ac:dyDescent="0.15">
      <c r="A122" t="str">
        <f t="shared" si="4"/>
        <v>0</v>
      </c>
      <c r="B122">
        <f t="shared" si="5"/>
        <v>12</v>
      </c>
      <c r="C122" s="59" t="s">
        <v>3864</v>
      </c>
    </row>
    <row r="123" spans="1:3" hidden="1" x14ac:dyDescent="0.15">
      <c r="A123" t="str">
        <f t="shared" si="4"/>
        <v/>
      </c>
      <c r="B123">
        <f t="shared" si="5"/>
        <v>0</v>
      </c>
      <c r="C123" s="1"/>
    </row>
    <row r="124" spans="1:3" x14ac:dyDescent="0.15">
      <c r="A124" t="str">
        <f t="shared" si="4"/>
        <v>守</v>
      </c>
      <c r="B124">
        <f t="shared" si="5"/>
        <v>17</v>
      </c>
      <c r="C124" s="2" t="s">
        <v>3865</v>
      </c>
    </row>
    <row r="125" spans="1:3" hidden="1" x14ac:dyDescent="0.15">
      <c r="A125" t="str">
        <f t="shared" si="4"/>
        <v/>
      </c>
      <c r="B125">
        <f t="shared" si="5"/>
        <v>0</v>
      </c>
      <c r="C125" s="1"/>
    </row>
    <row r="126" spans="1:3" hidden="1" x14ac:dyDescent="0.15">
      <c r="A126" t="str">
        <f t="shared" si="4"/>
        <v>0</v>
      </c>
      <c r="B126">
        <f t="shared" si="5"/>
        <v>12</v>
      </c>
      <c r="C126" s="59" t="s">
        <v>3866</v>
      </c>
    </row>
    <row r="127" spans="1:3" hidden="1" x14ac:dyDescent="0.15">
      <c r="A127" t="str">
        <f t="shared" si="4"/>
        <v/>
      </c>
      <c r="B127">
        <f t="shared" si="5"/>
        <v>0</v>
      </c>
      <c r="C127" s="1"/>
    </row>
    <row r="128" spans="1:3" x14ac:dyDescent="0.15">
      <c r="A128" t="str">
        <f t="shared" si="4"/>
        <v>蘋</v>
      </c>
      <c r="B128">
        <f t="shared" si="5"/>
        <v>21</v>
      </c>
      <c r="C128" s="2" t="s">
        <v>3867</v>
      </c>
    </row>
    <row r="129" spans="1:3" hidden="1" x14ac:dyDescent="0.15">
      <c r="A129" t="str">
        <f t="shared" si="4"/>
        <v/>
      </c>
      <c r="B129">
        <f t="shared" si="5"/>
        <v>0</v>
      </c>
      <c r="C129" s="1"/>
    </row>
    <row r="130" spans="1:3" hidden="1" x14ac:dyDescent="0.15">
      <c r="A130" t="str">
        <f t="shared" si="4"/>
        <v>0</v>
      </c>
      <c r="B130">
        <f t="shared" si="5"/>
        <v>13</v>
      </c>
      <c r="C130" s="59" t="s">
        <v>3868</v>
      </c>
    </row>
    <row r="131" spans="1:3" hidden="1" x14ac:dyDescent="0.15">
      <c r="A131" t="str">
        <f t="shared" si="4"/>
        <v/>
      </c>
      <c r="B131">
        <f t="shared" si="5"/>
        <v>0</v>
      </c>
      <c r="C131" s="1"/>
    </row>
    <row r="132" spans="1:3" hidden="1" x14ac:dyDescent="0.15">
      <c r="A132" t="str">
        <f t="shared" si="4"/>
        <v>第</v>
      </c>
      <c r="B132">
        <f t="shared" si="5"/>
        <v>3</v>
      </c>
      <c r="C132" s="2" t="s">
        <v>5</v>
      </c>
    </row>
    <row r="133" spans="1:3" hidden="1" x14ac:dyDescent="0.15">
      <c r="A133" t="str">
        <f t="shared" si="4"/>
        <v>上</v>
      </c>
      <c r="B133">
        <f t="shared" si="5"/>
        <v>3</v>
      </c>
      <c r="C133" s="2" t="s">
        <v>6</v>
      </c>
    </row>
    <row r="134" spans="1:3" hidden="1" x14ac:dyDescent="0.15">
      <c r="A134" t="str">
        <f t="shared" si="4"/>
        <v>1</v>
      </c>
      <c r="B134">
        <f t="shared" si="5"/>
        <v>1</v>
      </c>
      <c r="C134" s="2">
        <v>1</v>
      </c>
    </row>
    <row r="135" spans="1:3" hidden="1" x14ac:dyDescent="0.15">
      <c r="A135" t="str">
        <f t="shared" si="4"/>
        <v>2</v>
      </c>
      <c r="B135">
        <f t="shared" si="5"/>
        <v>1</v>
      </c>
      <c r="C135" s="33">
        <v>2</v>
      </c>
    </row>
    <row r="136" spans="1:3" hidden="1" x14ac:dyDescent="0.15">
      <c r="A136" t="str">
        <f t="shared" si="4"/>
        <v>3</v>
      </c>
      <c r="B136">
        <f t="shared" si="5"/>
        <v>1</v>
      </c>
      <c r="C136" s="2">
        <v>3</v>
      </c>
    </row>
    <row r="137" spans="1:3" hidden="1" x14ac:dyDescent="0.15">
      <c r="A137" t="str">
        <f t="shared" si="4"/>
        <v>4</v>
      </c>
      <c r="B137">
        <f t="shared" si="5"/>
        <v>1</v>
      </c>
      <c r="C137" s="2">
        <v>4</v>
      </c>
    </row>
    <row r="138" spans="1:3" hidden="1" x14ac:dyDescent="0.15">
      <c r="A138" t="str">
        <f t="shared" si="4"/>
        <v>5</v>
      </c>
      <c r="B138">
        <f t="shared" si="5"/>
        <v>1</v>
      </c>
      <c r="C138" s="2">
        <v>5</v>
      </c>
    </row>
    <row r="139" spans="1:3" hidden="1" x14ac:dyDescent="0.15">
      <c r="A139" t="str">
        <f t="shared" si="4"/>
        <v>6</v>
      </c>
      <c r="B139">
        <f t="shared" si="5"/>
        <v>1</v>
      </c>
      <c r="C139" s="2">
        <v>6</v>
      </c>
    </row>
    <row r="140" spans="1:3" hidden="1" x14ac:dyDescent="0.15">
      <c r="A140" t="str">
        <f t="shared" si="4"/>
        <v>7</v>
      </c>
      <c r="B140">
        <f t="shared" si="5"/>
        <v>1</v>
      </c>
      <c r="C140" s="2">
        <v>7</v>
      </c>
    </row>
    <row r="141" spans="1:3" hidden="1" x14ac:dyDescent="0.15">
      <c r="A141" t="str">
        <f t="shared" si="4"/>
        <v>8</v>
      </c>
      <c r="B141">
        <f t="shared" si="5"/>
        <v>1</v>
      </c>
      <c r="C141" s="2">
        <v>8</v>
      </c>
    </row>
    <row r="142" spans="1:3" hidden="1" x14ac:dyDescent="0.15">
      <c r="A142" t="str">
        <f t="shared" si="4"/>
        <v>9</v>
      </c>
      <c r="B142">
        <f t="shared" si="5"/>
        <v>1</v>
      </c>
      <c r="C142" s="2">
        <v>9</v>
      </c>
    </row>
    <row r="143" spans="1:3" hidden="1" x14ac:dyDescent="0.15">
      <c r="A143" t="str">
        <f t="shared" si="4"/>
        <v>1</v>
      </c>
      <c r="B143">
        <f t="shared" si="5"/>
        <v>2</v>
      </c>
      <c r="C143" s="2">
        <v>10</v>
      </c>
    </row>
    <row r="144" spans="1:3" hidden="1" x14ac:dyDescent="0.15">
      <c r="A144" t="str">
        <f t="shared" si="4"/>
        <v>下</v>
      </c>
      <c r="B144">
        <f t="shared" si="5"/>
        <v>3</v>
      </c>
      <c r="C144" s="2" t="s">
        <v>7</v>
      </c>
    </row>
    <row r="145" spans="1:3" hidden="1" x14ac:dyDescent="0.15">
      <c r="A145" t="str">
        <f t="shared" si="4"/>
        <v>最</v>
      </c>
      <c r="B145">
        <f t="shared" si="5"/>
        <v>4</v>
      </c>
      <c r="C145" s="2" t="s">
        <v>8</v>
      </c>
    </row>
    <row r="146" spans="1:3" hidden="1" x14ac:dyDescent="0.15">
      <c r="A146" t="str">
        <f t="shared" si="4"/>
        <v/>
      </c>
      <c r="B146">
        <f t="shared" si="5"/>
        <v>0</v>
      </c>
    </row>
    <row r="147" spans="1:3" x14ac:dyDescent="0.15">
      <c r="A147" t="str">
        <f t="shared" si="4"/>
        <v>原</v>
      </c>
      <c r="B147">
        <f t="shared" si="5"/>
        <v>18</v>
      </c>
      <c r="C147" s="4" t="s">
        <v>3743</v>
      </c>
    </row>
    <row r="148" spans="1:3" hidden="1" x14ac:dyDescent="0.15">
      <c r="A148" t="str">
        <f t="shared" si="4"/>
        <v/>
      </c>
      <c r="B148">
        <f t="shared" si="5"/>
        <v>0</v>
      </c>
      <c r="C148" s="3"/>
    </row>
    <row r="149" spans="1:3" x14ac:dyDescent="0.15">
      <c r="A149" t="str">
        <f t="shared" si="4"/>
        <v>以</v>
      </c>
      <c r="B149">
        <f t="shared" si="5"/>
        <v>892</v>
      </c>
      <c r="C149" s="34" t="s">
        <v>3744</v>
      </c>
    </row>
    <row r="150" spans="1:3" hidden="1" x14ac:dyDescent="0.15">
      <c r="A150" t="str">
        <f t="shared" si="4"/>
        <v/>
      </c>
      <c r="B150">
        <f t="shared" si="5"/>
        <v>0</v>
      </c>
    </row>
    <row r="151" spans="1:3" x14ac:dyDescent="0.15">
      <c r="A151" t="str">
        <f t="shared" si="4"/>
        <v>油</v>
      </c>
      <c r="B151">
        <f t="shared" si="5"/>
        <v>16</v>
      </c>
      <c r="C151" s="5" t="s">
        <v>3745</v>
      </c>
    </row>
    <row r="152" spans="1:3" hidden="1" x14ac:dyDescent="0.15">
      <c r="A152" t="str">
        <f t="shared" si="4"/>
        <v/>
      </c>
      <c r="B152">
        <f t="shared" si="5"/>
        <v>0</v>
      </c>
    </row>
    <row r="153" spans="1:3" x14ac:dyDescent="0.15">
      <c r="A153" t="str">
        <f t="shared" si="4"/>
        <v>油</v>
      </c>
      <c r="B153">
        <f t="shared" si="5"/>
        <v>16</v>
      </c>
      <c r="C153" s="4" t="s">
        <v>3745</v>
      </c>
    </row>
    <row r="154" spans="1:3" hidden="1" x14ac:dyDescent="0.15">
      <c r="A154" t="str">
        <f t="shared" si="4"/>
        <v/>
      </c>
      <c r="B154">
        <f t="shared" si="5"/>
        <v>0</v>
      </c>
    </row>
    <row r="155" spans="1:3" hidden="1" x14ac:dyDescent="0.15">
      <c r="A155" t="str">
        <f t="shared" si="4"/>
        <v>最</v>
      </c>
      <c r="B155">
        <f t="shared" si="5"/>
        <v>6</v>
      </c>
      <c r="C155" s="25" t="s">
        <v>9</v>
      </c>
    </row>
    <row r="156" spans="1:3" hidden="1" x14ac:dyDescent="0.15">
      <c r="A156" t="str">
        <f t="shared" si="4"/>
        <v/>
      </c>
      <c r="B156">
        <f t="shared" si="5"/>
        <v>0</v>
      </c>
      <c r="C156" s="1"/>
    </row>
    <row r="157" spans="1:3" hidden="1" x14ac:dyDescent="0.15">
      <c r="A157" t="str">
        <f t="shared" si="4"/>
        <v>1</v>
      </c>
      <c r="B157">
        <f t="shared" si="5"/>
        <v>5</v>
      </c>
      <c r="C157" s="35">
        <v>17099</v>
      </c>
    </row>
    <row r="158" spans="1:3" x14ac:dyDescent="0.15">
      <c r="A158" t="str">
        <f t="shared" si="4"/>
        <v>兆</v>
      </c>
      <c r="B158">
        <f t="shared" si="5"/>
        <v>27</v>
      </c>
      <c r="C158" s="2" t="s">
        <v>3746</v>
      </c>
    </row>
    <row r="159" spans="1:3" hidden="1" x14ac:dyDescent="0.15">
      <c r="A159" t="str">
        <f t="shared" si="4"/>
        <v>4</v>
      </c>
      <c r="B159">
        <f t="shared" si="5"/>
        <v>4</v>
      </c>
      <c r="C159" s="35">
        <v>4368</v>
      </c>
    </row>
    <row r="160" spans="1:3" x14ac:dyDescent="0.15">
      <c r="A160" t="str">
        <f t="shared" si="4"/>
        <v>汽</v>
      </c>
      <c r="B160">
        <f t="shared" si="5"/>
        <v>12</v>
      </c>
      <c r="C160" s="2" t="s">
        <v>3747</v>
      </c>
    </row>
    <row r="161" spans="1:3" hidden="1" x14ac:dyDescent="0.15">
      <c r="A161" t="str">
        <f t="shared" si="4"/>
        <v>3</v>
      </c>
      <c r="B161">
        <f t="shared" si="5"/>
        <v>4</v>
      </c>
      <c r="C161" s="35">
        <v>3943</v>
      </c>
    </row>
    <row r="162" spans="1:3" x14ac:dyDescent="0.15">
      <c r="A162" t="str">
        <f t="shared" si="4"/>
        <v>油</v>
      </c>
      <c r="B162">
        <f t="shared" si="5"/>
        <v>12</v>
      </c>
      <c r="C162" s="2" t="s">
        <v>3748</v>
      </c>
    </row>
    <row r="163" spans="1:3" hidden="1" x14ac:dyDescent="0.15">
      <c r="A163" t="str">
        <f t="shared" si="4"/>
        <v>3</v>
      </c>
      <c r="B163">
        <f t="shared" si="5"/>
        <v>4</v>
      </c>
      <c r="C163" s="35">
        <v>3788</v>
      </c>
    </row>
    <row r="164" spans="1:3" x14ac:dyDescent="0.15">
      <c r="A164" t="str">
        <f t="shared" si="4"/>
        <v>國</v>
      </c>
      <c r="B164">
        <f t="shared" si="5"/>
        <v>11</v>
      </c>
      <c r="C164" s="2" t="s">
        <v>3749</v>
      </c>
    </row>
    <row r="165" spans="1:3" hidden="1" x14ac:dyDescent="0.15">
      <c r="A165" t="str">
        <f t="shared" si="4"/>
        <v>3</v>
      </c>
      <c r="B165">
        <f t="shared" si="5"/>
        <v>4</v>
      </c>
      <c r="C165" s="35">
        <v>3703</v>
      </c>
    </row>
    <row r="166" spans="1:3" x14ac:dyDescent="0.15">
      <c r="A166" t="str">
        <f t="shared" si="4"/>
        <v>社</v>
      </c>
      <c r="B166">
        <f t="shared" si="5"/>
        <v>18</v>
      </c>
      <c r="C166" s="2" t="s">
        <v>3750</v>
      </c>
    </row>
    <row r="167" spans="1:3" hidden="1" x14ac:dyDescent="0.15">
      <c r="A167" t="str">
        <f t="shared" si="4"/>
        <v/>
      </c>
      <c r="B167">
        <f t="shared" si="5"/>
        <v>0</v>
      </c>
      <c r="C167" s="3"/>
    </row>
    <row r="168" spans="1:3" x14ac:dyDescent="0.15">
      <c r="A168" t="str">
        <f t="shared" si="4"/>
        <v>你</v>
      </c>
      <c r="B168">
        <f t="shared" si="5"/>
        <v>10</v>
      </c>
      <c r="C168" s="25" t="s">
        <v>3439</v>
      </c>
    </row>
    <row r="169" spans="1:3" hidden="1" x14ac:dyDescent="0.15">
      <c r="A169" t="str">
        <f t="shared" si="4"/>
        <v/>
      </c>
      <c r="B169">
        <f t="shared" si="5"/>
        <v>0</v>
      </c>
    </row>
    <row r="170" spans="1:3" hidden="1" x14ac:dyDescent="0.15">
      <c r="A170" t="str">
        <f t="shared" si="4"/>
        <v>中</v>
      </c>
      <c r="B170">
        <f t="shared" si="5"/>
        <v>5</v>
      </c>
      <c r="C170" s="2" t="s">
        <v>3440</v>
      </c>
    </row>
    <row r="171" spans="1:3" hidden="1" x14ac:dyDescent="0.15">
      <c r="A171" t="str">
        <f t="shared" si="4"/>
        <v/>
      </c>
      <c r="B171">
        <f t="shared" si="5"/>
        <v>0</v>
      </c>
    </row>
    <row r="172" spans="1:3" hidden="1" x14ac:dyDescent="0.15">
      <c r="A172" t="e">
        <f>LEFT(#REF!)</f>
        <v>#REF!</v>
      </c>
      <c r="B172" t="e">
        <f>LEN(#REF!)</f>
        <v>#REF!</v>
      </c>
      <c r="C172" s="4" t="s">
        <v>10</v>
      </c>
    </row>
    <row r="173" spans="1:3" hidden="1" x14ac:dyDescent="0.15">
      <c r="A173" t="e">
        <f>LEFT(#REF!)</f>
        <v>#REF!</v>
      </c>
      <c r="B173" t="e">
        <f>LEN(#REF!)</f>
        <v>#REF!</v>
      </c>
    </row>
    <row r="174" spans="1:3" hidden="1" x14ac:dyDescent="0.15">
      <c r="A174" t="e">
        <f>LEFT(#REF!)</f>
        <v>#REF!</v>
      </c>
      <c r="B174" t="e">
        <f>LEN(#REF!)</f>
        <v>#REF!</v>
      </c>
    </row>
    <row r="175" spans="1:3" hidden="1" x14ac:dyDescent="0.15">
      <c r="A175" t="e">
        <f>LEFT(#REF!)</f>
        <v>#REF!</v>
      </c>
      <c r="B175" t="e">
        <f>LEN(#REF!)</f>
        <v>#REF!</v>
      </c>
    </row>
    <row r="176" spans="1:3" hidden="1" x14ac:dyDescent="0.15">
      <c r="A176" t="e">
        <f>LEFT(#REF!)</f>
        <v>#REF!</v>
      </c>
      <c r="B176" t="e">
        <f>LEN(#REF!)</f>
        <v>#REF!</v>
      </c>
    </row>
    <row r="177" spans="1:2" hidden="1" x14ac:dyDescent="0.15">
      <c r="A177" t="e">
        <f>LEFT(#REF!)</f>
        <v>#REF!</v>
      </c>
      <c r="B177" t="e">
        <f>LEN(#REF!)</f>
        <v>#REF!</v>
      </c>
    </row>
    <row r="178" spans="1:2" hidden="1" x14ac:dyDescent="0.15">
      <c r="A178" t="str">
        <f t="shared" ref="A178:A209" si="6">LEFT(C172)</f>
        <v>T</v>
      </c>
      <c r="B178">
        <f t="shared" ref="B178:B209" si="7">LEN(C172)</f>
        <v>3</v>
      </c>
    </row>
    <row r="179" spans="1:2" hidden="1" x14ac:dyDescent="0.15">
      <c r="A179" t="str">
        <f t="shared" si="6"/>
        <v/>
      </c>
      <c r="B179">
        <f t="shared" si="7"/>
        <v>0</v>
      </c>
    </row>
    <row r="180" spans="1:2" hidden="1" x14ac:dyDescent="0.15">
      <c r="A180" t="str">
        <f t="shared" si="6"/>
        <v/>
      </c>
      <c r="B180">
        <f t="shared" si="7"/>
        <v>0</v>
      </c>
    </row>
    <row r="181" spans="1:2" hidden="1" x14ac:dyDescent="0.15">
      <c r="A181" t="str">
        <f t="shared" si="6"/>
        <v/>
      </c>
      <c r="B181">
        <f t="shared" si="7"/>
        <v>0</v>
      </c>
    </row>
    <row r="182" spans="1:2" hidden="1" x14ac:dyDescent="0.15">
      <c r="A182" t="str">
        <f t="shared" si="6"/>
        <v/>
      </c>
      <c r="B182">
        <f t="shared" si="7"/>
        <v>0</v>
      </c>
    </row>
    <row r="183" spans="1:2" hidden="1" x14ac:dyDescent="0.15">
      <c r="A183" t="str">
        <f t="shared" si="6"/>
        <v/>
      </c>
      <c r="B183">
        <f t="shared" si="7"/>
        <v>0</v>
      </c>
    </row>
    <row r="184" spans="1:2" hidden="1" x14ac:dyDescent="0.15">
      <c r="A184" t="str">
        <f t="shared" si="6"/>
        <v/>
      </c>
      <c r="B184">
        <f t="shared" si="7"/>
        <v>0</v>
      </c>
    </row>
    <row r="185" spans="1:2" hidden="1" x14ac:dyDescent="0.15">
      <c r="A185" t="str">
        <f t="shared" si="6"/>
        <v/>
      </c>
      <c r="B185">
        <f t="shared" si="7"/>
        <v>0</v>
      </c>
    </row>
    <row r="186" spans="1:2" hidden="1" x14ac:dyDescent="0.15">
      <c r="A186" t="str">
        <f t="shared" si="6"/>
        <v/>
      </c>
      <c r="B186">
        <f t="shared" si="7"/>
        <v>0</v>
      </c>
    </row>
    <row r="187" spans="1:2" hidden="1" x14ac:dyDescent="0.15">
      <c r="A187" t="str">
        <f t="shared" si="6"/>
        <v/>
      </c>
      <c r="B187">
        <f t="shared" si="7"/>
        <v>0</v>
      </c>
    </row>
    <row r="188" spans="1:2" hidden="1" x14ac:dyDescent="0.15">
      <c r="A188" t="str">
        <f t="shared" si="6"/>
        <v/>
      </c>
      <c r="B188">
        <f t="shared" si="7"/>
        <v>0</v>
      </c>
    </row>
    <row r="189" spans="1:2" hidden="1" x14ac:dyDescent="0.15">
      <c r="A189" t="str">
        <f t="shared" si="6"/>
        <v/>
      </c>
      <c r="B189">
        <f t="shared" si="7"/>
        <v>0</v>
      </c>
    </row>
    <row r="190" spans="1:2" hidden="1" x14ac:dyDescent="0.15">
      <c r="A190" t="str">
        <f t="shared" si="6"/>
        <v/>
      </c>
      <c r="B190">
        <f t="shared" si="7"/>
        <v>0</v>
      </c>
    </row>
    <row r="191" spans="1:2" hidden="1" x14ac:dyDescent="0.15">
      <c r="A191" t="str">
        <f t="shared" si="6"/>
        <v/>
      </c>
      <c r="B191">
        <f t="shared" si="7"/>
        <v>0</v>
      </c>
    </row>
    <row r="192" spans="1:2" hidden="1" x14ac:dyDescent="0.15">
      <c r="A192" t="str">
        <f t="shared" si="6"/>
        <v/>
      </c>
      <c r="B192">
        <f t="shared" si="7"/>
        <v>0</v>
      </c>
    </row>
    <row r="193" spans="1:2" hidden="1" x14ac:dyDescent="0.15">
      <c r="A193" t="str">
        <f t="shared" si="6"/>
        <v/>
      </c>
      <c r="B193">
        <f t="shared" si="7"/>
        <v>0</v>
      </c>
    </row>
    <row r="194" spans="1:2" hidden="1" x14ac:dyDescent="0.15">
      <c r="A194" t="str">
        <f t="shared" si="6"/>
        <v/>
      </c>
      <c r="B194">
        <f t="shared" si="7"/>
        <v>0</v>
      </c>
    </row>
    <row r="195" spans="1:2" hidden="1" x14ac:dyDescent="0.15">
      <c r="A195" t="str">
        <f t="shared" si="6"/>
        <v/>
      </c>
      <c r="B195">
        <f t="shared" si="7"/>
        <v>0</v>
      </c>
    </row>
    <row r="196" spans="1:2" hidden="1" x14ac:dyDescent="0.15">
      <c r="A196" t="str">
        <f t="shared" si="6"/>
        <v/>
      </c>
      <c r="B196">
        <f t="shared" si="7"/>
        <v>0</v>
      </c>
    </row>
    <row r="197" spans="1:2" hidden="1" x14ac:dyDescent="0.15">
      <c r="A197" t="str">
        <f t="shared" si="6"/>
        <v/>
      </c>
      <c r="B197">
        <f t="shared" si="7"/>
        <v>0</v>
      </c>
    </row>
    <row r="198" spans="1:2" hidden="1" x14ac:dyDescent="0.15">
      <c r="A198" t="str">
        <f t="shared" si="6"/>
        <v/>
      </c>
      <c r="B198">
        <f t="shared" si="7"/>
        <v>0</v>
      </c>
    </row>
    <row r="199" spans="1:2" hidden="1" x14ac:dyDescent="0.15">
      <c r="A199" t="str">
        <f t="shared" si="6"/>
        <v/>
      </c>
      <c r="B199">
        <f t="shared" si="7"/>
        <v>0</v>
      </c>
    </row>
    <row r="200" spans="1:2" hidden="1" x14ac:dyDescent="0.15">
      <c r="A200" t="str">
        <f t="shared" si="6"/>
        <v/>
      </c>
      <c r="B200">
        <f t="shared" si="7"/>
        <v>0</v>
      </c>
    </row>
    <row r="201" spans="1:2" hidden="1" x14ac:dyDescent="0.15">
      <c r="A201" t="str">
        <f t="shared" si="6"/>
        <v/>
      </c>
      <c r="B201">
        <f t="shared" si="7"/>
        <v>0</v>
      </c>
    </row>
    <row r="202" spans="1:2" hidden="1" x14ac:dyDescent="0.15">
      <c r="A202" t="str">
        <f t="shared" si="6"/>
        <v/>
      </c>
      <c r="B202">
        <f t="shared" si="7"/>
        <v>0</v>
      </c>
    </row>
    <row r="203" spans="1:2" hidden="1" x14ac:dyDescent="0.15">
      <c r="A203" t="str">
        <f t="shared" si="6"/>
        <v/>
      </c>
      <c r="B203">
        <f t="shared" si="7"/>
        <v>0</v>
      </c>
    </row>
    <row r="204" spans="1:2" hidden="1" x14ac:dyDescent="0.15">
      <c r="A204" t="str">
        <f t="shared" si="6"/>
        <v/>
      </c>
      <c r="B204">
        <f t="shared" si="7"/>
        <v>0</v>
      </c>
    </row>
    <row r="205" spans="1:2" hidden="1" x14ac:dyDescent="0.15">
      <c r="A205" t="str">
        <f t="shared" si="6"/>
        <v/>
      </c>
      <c r="B205">
        <f t="shared" si="7"/>
        <v>0</v>
      </c>
    </row>
    <row r="206" spans="1:2" hidden="1" x14ac:dyDescent="0.15">
      <c r="A206" t="str">
        <f t="shared" si="6"/>
        <v/>
      </c>
      <c r="B206">
        <f t="shared" si="7"/>
        <v>0</v>
      </c>
    </row>
    <row r="207" spans="1:2" hidden="1" x14ac:dyDescent="0.15">
      <c r="A207" t="str">
        <f t="shared" si="6"/>
        <v/>
      </c>
      <c r="B207">
        <f t="shared" si="7"/>
        <v>0</v>
      </c>
    </row>
    <row r="208" spans="1:2" hidden="1" x14ac:dyDescent="0.15">
      <c r="A208" t="str">
        <f t="shared" si="6"/>
        <v/>
      </c>
      <c r="B208">
        <f t="shared" si="7"/>
        <v>0</v>
      </c>
    </row>
    <row r="209" spans="1:2" hidden="1" x14ac:dyDescent="0.15">
      <c r="A209" t="str">
        <f t="shared" si="6"/>
        <v/>
      </c>
      <c r="B209">
        <f t="shared" si="7"/>
        <v>0</v>
      </c>
    </row>
    <row r="210" spans="1:2" hidden="1" x14ac:dyDescent="0.15">
      <c r="A210" t="str">
        <f t="shared" ref="A210:A240" si="8">LEFT(C204)</f>
        <v/>
      </c>
      <c r="B210">
        <f t="shared" ref="B210:B240" si="9">LEN(C204)</f>
        <v>0</v>
      </c>
    </row>
    <row r="211" spans="1:2" hidden="1" x14ac:dyDescent="0.15">
      <c r="A211" t="str">
        <f t="shared" si="8"/>
        <v/>
      </c>
      <c r="B211">
        <f t="shared" si="9"/>
        <v>0</v>
      </c>
    </row>
    <row r="212" spans="1:2" hidden="1" x14ac:dyDescent="0.15">
      <c r="A212" t="str">
        <f t="shared" si="8"/>
        <v/>
      </c>
      <c r="B212">
        <f t="shared" si="9"/>
        <v>0</v>
      </c>
    </row>
    <row r="213" spans="1:2" hidden="1" x14ac:dyDescent="0.15">
      <c r="A213" t="str">
        <f t="shared" si="8"/>
        <v/>
      </c>
      <c r="B213">
        <f t="shared" si="9"/>
        <v>0</v>
      </c>
    </row>
    <row r="214" spans="1:2" hidden="1" x14ac:dyDescent="0.15">
      <c r="A214" t="str">
        <f t="shared" si="8"/>
        <v/>
      </c>
      <c r="B214">
        <f t="shared" si="9"/>
        <v>0</v>
      </c>
    </row>
    <row r="215" spans="1:2" hidden="1" x14ac:dyDescent="0.15">
      <c r="A215" t="str">
        <f t="shared" si="8"/>
        <v/>
      </c>
      <c r="B215">
        <f t="shared" si="9"/>
        <v>0</v>
      </c>
    </row>
    <row r="216" spans="1:2" hidden="1" x14ac:dyDescent="0.15">
      <c r="A216" t="str">
        <f t="shared" si="8"/>
        <v/>
      </c>
      <c r="B216">
        <f t="shared" si="9"/>
        <v>0</v>
      </c>
    </row>
    <row r="217" spans="1:2" hidden="1" x14ac:dyDescent="0.15">
      <c r="A217" t="str">
        <f t="shared" si="8"/>
        <v/>
      </c>
      <c r="B217">
        <f t="shared" si="9"/>
        <v>0</v>
      </c>
    </row>
    <row r="218" spans="1:2" hidden="1" x14ac:dyDescent="0.15">
      <c r="A218" t="str">
        <f t="shared" si="8"/>
        <v/>
      </c>
      <c r="B218">
        <f t="shared" si="9"/>
        <v>0</v>
      </c>
    </row>
    <row r="219" spans="1:2" hidden="1" x14ac:dyDescent="0.15">
      <c r="A219" t="str">
        <f t="shared" si="8"/>
        <v/>
      </c>
      <c r="B219">
        <f t="shared" si="9"/>
        <v>0</v>
      </c>
    </row>
    <row r="220" spans="1:2" hidden="1" x14ac:dyDescent="0.15">
      <c r="A220" t="str">
        <f t="shared" si="8"/>
        <v/>
      </c>
      <c r="B220">
        <f t="shared" si="9"/>
        <v>0</v>
      </c>
    </row>
    <row r="221" spans="1:2" hidden="1" x14ac:dyDescent="0.15">
      <c r="A221" t="str">
        <f t="shared" si="8"/>
        <v/>
      </c>
      <c r="B221">
        <f t="shared" si="9"/>
        <v>0</v>
      </c>
    </row>
    <row r="222" spans="1:2" hidden="1" x14ac:dyDescent="0.15">
      <c r="A222" t="str">
        <f t="shared" si="8"/>
        <v/>
      </c>
      <c r="B222">
        <f t="shared" si="9"/>
        <v>0</v>
      </c>
    </row>
    <row r="223" spans="1:2" hidden="1" x14ac:dyDescent="0.15">
      <c r="A223" t="str">
        <f t="shared" si="8"/>
        <v/>
      </c>
      <c r="B223">
        <f t="shared" si="9"/>
        <v>0</v>
      </c>
    </row>
    <row r="224" spans="1:2" hidden="1" x14ac:dyDescent="0.15">
      <c r="A224" t="str">
        <f t="shared" si="8"/>
        <v/>
      </c>
      <c r="B224">
        <f t="shared" si="9"/>
        <v>0</v>
      </c>
    </row>
    <row r="225" spans="1:2" hidden="1" x14ac:dyDescent="0.15">
      <c r="A225" t="str">
        <f t="shared" si="8"/>
        <v/>
      </c>
      <c r="B225">
        <f t="shared" si="9"/>
        <v>0</v>
      </c>
    </row>
    <row r="226" spans="1:2" hidden="1" x14ac:dyDescent="0.15">
      <c r="A226" t="str">
        <f t="shared" si="8"/>
        <v/>
      </c>
      <c r="B226">
        <f t="shared" si="9"/>
        <v>0</v>
      </c>
    </row>
    <row r="227" spans="1:2" hidden="1" x14ac:dyDescent="0.15">
      <c r="A227" t="str">
        <f t="shared" si="8"/>
        <v/>
      </c>
      <c r="B227">
        <f t="shared" si="9"/>
        <v>0</v>
      </c>
    </row>
    <row r="228" spans="1:2" hidden="1" x14ac:dyDescent="0.15">
      <c r="A228" t="str">
        <f t="shared" si="8"/>
        <v/>
      </c>
      <c r="B228">
        <f t="shared" si="9"/>
        <v>0</v>
      </c>
    </row>
    <row r="229" spans="1:2" hidden="1" x14ac:dyDescent="0.15">
      <c r="A229" t="str">
        <f t="shared" si="8"/>
        <v/>
      </c>
      <c r="B229">
        <f t="shared" si="9"/>
        <v>0</v>
      </c>
    </row>
    <row r="230" spans="1:2" hidden="1" x14ac:dyDescent="0.15">
      <c r="A230" t="str">
        <f t="shared" si="8"/>
        <v/>
      </c>
      <c r="B230">
        <f t="shared" si="9"/>
        <v>0</v>
      </c>
    </row>
    <row r="231" spans="1:2" hidden="1" x14ac:dyDescent="0.15">
      <c r="A231" t="str">
        <f t="shared" si="8"/>
        <v/>
      </c>
      <c r="B231">
        <f t="shared" si="9"/>
        <v>0</v>
      </c>
    </row>
    <row r="232" spans="1:2" hidden="1" x14ac:dyDescent="0.15">
      <c r="A232" t="str">
        <f t="shared" si="8"/>
        <v/>
      </c>
      <c r="B232">
        <f t="shared" si="9"/>
        <v>0</v>
      </c>
    </row>
    <row r="233" spans="1:2" hidden="1" x14ac:dyDescent="0.15">
      <c r="A233" t="str">
        <f t="shared" si="8"/>
        <v/>
      </c>
      <c r="B233">
        <f t="shared" si="9"/>
        <v>0</v>
      </c>
    </row>
    <row r="234" spans="1:2" hidden="1" x14ac:dyDescent="0.15">
      <c r="A234" t="str">
        <f t="shared" si="8"/>
        <v/>
      </c>
      <c r="B234">
        <f t="shared" si="9"/>
        <v>0</v>
      </c>
    </row>
    <row r="235" spans="1:2" hidden="1" x14ac:dyDescent="0.15">
      <c r="A235" t="str">
        <f t="shared" si="8"/>
        <v/>
      </c>
      <c r="B235">
        <f t="shared" si="9"/>
        <v>0</v>
      </c>
    </row>
    <row r="236" spans="1:2" hidden="1" x14ac:dyDescent="0.15">
      <c r="A236" t="str">
        <f t="shared" si="8"/>
        <v/>
      </c>
      <c r="B236">
        <f t="shared" si="9"/>
        <v>0</v>
      </c>
    </row>
    <row r="237" spans="1:2" hidden="1" x14ac:dyDescent="0.15">
      <c r="A237" t="str">
        <f t="shared" si="8"/>
        <v/>
      </c>
      <c r="B237">
        <f t="shared" si="9"/>
        <v>0</v>
      </c>
    </row>
    <row r="238" spans="1:2" hidden="1" x14ac:dyDescent="0.15">
      <c r="A238" t="str">
        <f t="shared" si="8"/>
        <v/>
      </c>
      <c r="B238">
        <f t="shared" si="9"/>
        <v>0</v>
      </c>
    </row>
    <row r="239" spans="1:2" hidden="1" x14ac:dyDescent="0.15">
      <c r="A239" t="str">
        <f t="shared" si="8"/>
        <v/>
      </c>
      <c r="B239">
        <f t="shared" si="9"/>
        <v>0</v>
      </c>
    </row>
    <row r="240" spans="1:2" hidden="1" x14ac:dyDescent="0.15">
      <c r="A240" t="str">
        <f t="shared" si="8"/>
        <v/>
      </c>
      <c r="B240">
        <f t="shared" si="9"/>
        <v>0</v>
      </c>
    </row>
    <row r="241" spans="1:2" hidden="1" x14ac:dyDescent="0.15">
      <c r="A241" t="str">
        <f t="shared" ref="A241:A292" si="10">LEFT(C235)</f>
        <v/>
      </c>
      <c r="B241">
        <f t="shared" ref="B241:B292" si="11">LEN(C235)</f>
        <v>0</v>
      </c>
    </row>
    <row r="242" spans="1:2" hidden="1" x14ac:dyDescent="0.15">
      <c r="A242" t="str">
        <f t="shared" si="10"/>
        <v/>
      </c>
      <c r="B242">
        <f t="shared" si="11"/>
        <v>0</v>
      </c>
    </row>
    <row r="243" spans="1:2" hidden="1" x14ac:dyDescent="0.15">
      <c r="A243" t="str">
        <f t="shared" si="10"/>
        <v/>
      </c>
      <c r="B243">
        <f t="shared" si="11"/>
        <v>0</v>
      </c>
    </row>
    <row r="244" spans="1:2" hidden="1" x14ac:dyDescent="0.15">
      <c r="A244" t="str">
        <f t="shared" si="10"/>
        <v/>
      </c>
      <c r="B244">
        <f t="shared" si="11"/>
        <v>0</v>
      </c>
    </row>
    <row r="245" spans="1:2" hidden="1" x14ac:dyDescent="0.15">
      <c r="A245" t="str">
        <f t="shared" si="10"/>
        <v/>
      </c>
      <c r="B245">
        <f t="shared" si="11"/>
        <v>0</v>
      </c>
    </row>
    <row r="246" spans="1:2" hidden="1" x14ac:dyDescent="0.15">
      <c r="A246" t="str">
        <f t="shared" si="10"/>
        <v/>
      </c>
      <c r="B246">
        <f t="shared" si="11"/>
        <v>0</v>
      </c>
    </row>
    <row r="247" spans="1:2" hidden="1" x14ac:dyDescent="0.15">
      <c r="A247" t="str">
        <f t="shared" si="10"/>
        <v/>
      </c>
      <c r="B247">
        <f t="shared" si="11"/>
        <v>0</v>
      </c>
    </row>
    <row r="248" spans="1:2" hidden="1" x14ac:dyDescent="0.15">
      <c r="A248" t="str">
        <f t="shared" si="10"/>
        <v/>
      </c>
      <c r="B248">
        <f t="shared" si="11"/>
        <v>0</v>
      </c>
    </row>
    <row r="249" spans="1:2" hidden="1" x14ac:dyDescent="0.15">
      <c r="A249" t="str">
        <f t="shared" si="10"/>
        <v/>
      </c>
      <c r="B249">
        <f t="shared" si="11"/>
        <v>0</v>
      </c>
    </row>
    <row r="250" spans="1:2" hidden="1" x14ac:dyDescent="0.15">
      <c r="A250" t="str">
        <f t="shared" si="10"/>
        <v/>
      </c>
      <c r="B250">
        <f t="shared" si="11"/>
        <v>0</v>
      </c>
    </row>
    <row r="251" spans="1:2" hidden="1" x14ac:dyDescent="0.15">
      <c r="A251" t="str">
        <f t="shared" si="10"/>
        <v/>
      </c>
      <c r="B251">
        <f t="shared" si="11"/>
        <v>0</v>
      </c>
    </row>
    <row r="252" spans="1:2" hidden="1" x14ac:dyDescent="0.15">
      <c r="A252" t="str">
        <f t="shared" si="10"/>
        <v/>
      </c>
      <c r="B252">
        <f t="shared" si="11"/>
        <v>0</v>
      </c>
    </row>
    <row r="253" spans="1:2" hidden="1" x14ac:dyDescent="0.15">
      <c r="A253" t="str">
        <f t="shared" si="10"/>
        <v/>
      </c>
      <c r="B253">
        <f t="shared" si="11"/>
        <v>0</v>
      </c>
    </row>
    <row r="254" spans="1:2" hidden="1" x14ac:dyDescent="0.15">
      <c r="A254" t="str">
        <f t="shared" si="10"/>
        <v/>
      </c>
      <c r="B254">
        <f t="shared" si="11"/>
        <v>0</v>
      </c>
    </row>
    <row r="255" spans="1:2" hidden="1" x14ac:dyDescent="0.15">
      <c r="A255" t="str">
        <f t="shared" si="10"/>
        <v/>
      </c>
      <c r="B255">
        <f t="shared" si="11"/>
        <v>0</v>
      </c>
    </row>
    <row r="256" spans="1:2" hidden="1" x14ac:dyDescent="0.15">
      <c r="A256" t="str">
        <f t="shared" si="10"/>
        <v/>
      </c>
      <c r="B256">
        <f t="shared" si="11"/>
        <v>0</v>
      </c>
    </row>
    <row r="257" spans="1:2" hidden="1" x14ac:dyDescent="0.15">
      <c r="A257" t="str">
        <f t="shared" si="10"/>
        <v/>
      </c>
      <c r="B257">
        <f t="shared" si="11"/>
        <v>0</v>
      </c>
    </row>
    <row r="258" spans="1:2" hidden="1" x14ac:dyDescent="0.15">
      <c r="A258" t="str">
        <f t="shared" si="10"/>
        <v/>
      </c>
      <c r="B258">
        <f t="shared" si="11"/>
        <v>0</v>
      </c>
    </row>
    <row r="259" spans="1:2" hidden="1" x14ac:dyDescent="0.15">
      <c r="A259" t="str">
        <f t="shared" si="10"/>
        <v/>
      </c>
      <c r="B259">
        <f t="shared" si="11"/>
        <v>0</v>
      </c>
    </row>
    <row r="260" spans="1:2" hidden="1" x14ac:dyDescent="0.15">
      <c r="A260" t="str">
        <f t="shared" si="10"/>
        <v/>
      </c>
      <c r="B260">
        <f t="shared" si="11"/>
        <v>0</v>
      </c>
    </row>
    <row r="261" spans="1:2" hidden="1" x14ac:dyDescent="0.15">
      <c r="A261" t="str">
        <f t="shared" si="10"/>
        <v/>
      </c>
      <c r="B261">
        <f t="shared" si="11"/>
        <v>0</v>
      </c>
    </row>
    <row r="262" spans="1:2" hidden="1" x14ac:dyDescent="0.15">
      <c r="A262" t="str">
        <f t="shared" si="10"/>
        <v/>
      </c>
      <c r="B262">
        <f t="shared" si="11"/>
        <v>0</v>
      </c>
    </row>
    <row r="263" spans="1:2" hidden="1" x14ac:dyDescent="0.15">
      <c r="A263" t="str">
        <f t="shared" si="10"/>
        <v/>
      </c>
      <c r="B263">
        <f t="shared" si="11"/>
        <v>0</v>
      </c>
    </row>
    <row r="264" spans="1:2" hidden="1" x14ac:dyDescent="0.15">
      <c r="A264" t="str">
        <f t="shared" si="10"/>
        <v/>
      </c>
      <c r="B264">
        <f t="shared" si="11"/>
        <v>0</v>
      </c>
    </row>
    <row r="265" spans="1:2" hidden="1" x14ac:dyDescent="0.15">
      <c r="A265" t="str">
        <f t="shared" si="10"/>
        <v/>
      </c>
      <c r="B265">
        <f t="shared" si="11"/>
        <v>0</v>
      </c>
    </row>
    <row r="266" spans="1:2" hidden="1" x14ac:dyDescent="0.15">
      <c r="A266" t="str">
        <f t="shared" si="10"/>
        <v/>
      </c>
      <c r="B266">
        <f t="shared" si="11"/>
        <v>0</v>
      </c>
    </row>
    <row r="267" spans="1:2" hidden="1" x14ac:dyDescent="0.15">
      <c r="A267" t="str">
        <f t="shared" si="10"/>
        <v/>
      </c>
      <c r="B267">
        <f t="shared" si="11"/>
        <v>0</v>
      </c>
    </row>
    <row r="268" spans="1:2" hidden="1" x14ac:dyDescent="0.15">
      <c r="A268" t="str">
        <f t="shared" si="10"/>
        <v/>
      </c>
      <c r="B268">
        <f t="shared" si="11"/>
        <v>0</v>
      </c>
    </row>
    <row r="269" spans="1:2" hidden="1" x14ac:dyDescent="0.15">
      <c r="A269" t="str">
        <f t="shared" si="10"/>
        <v/>
      </c>
      <c r="B269">
        <f t="shared" si="11"/>
        <v>0</v>
      </c>
    </row>
    <row r="270" spans="1:2" hidden="1" x14ac:dyDescent="0.15">
      <c r="A270" t="str">
        <f t="shared" si="10"/>
        <v/>
      </c>
      <c r="B270">
        <f t="shared" si="11"/>
        <v>0</v>
      </c>
    </row>
    <row r="271" spans="1:2" hidden="1" x14ac:dyDescent="0.15">
      <c r="A271" t="str">
        <f t="shared" si="10"/>
        <v/>
      </c>
      <c r="B271">
        <f t="shared" si="11"/>
        <v>0</v>
      </c>
    </row>
    <row r="272" spans="1:2" hidden="1" x14ac:dyDescent="0.15">
      <c r="A272" t="str">
        <f t="shared" si="10"/>
        <v/>
      </c>
      <c r="B272">
        <f t="shared" si="11"/>
        <v>0</v>
      </c>
    </row>
    <row r="273" spans="1:2" hidden="1" x14ac:dyDescent="0.15">
      <c r="A273" t="str">
        <f t="shared" si="10"/>
        <v/>
      </c>
      <c r="B273">
        <f t="shared" si="11"/>
        <v>0</v>
      </c>
    </row>
    <row r="274" spans="1:2" hidden="1" x14ac:dyDescent="0.15">
      <c r="A274" t="str">
        <f t="shared" si="10"/>
        <v/>
      </c>
      <c r="B274">
        <f t="shared" si="11"/>
        <v>0</v>
      </c>
    </row>
    <row r="275" spans="1:2" hidden="1" x14ac:dyDescent="0.15">
      <c r="A275" t="str">
        <f t="shared" si="10"/>
        <v/>
      </c>
      <c r="B275">
        <f t="shared" si="11"/>
        <v>0</v>
      </c>
    </row>
    <row r="276" spans="1:2" hidden="1" x14ac:dyDescent="0.15">
      <c r="A276" t="str">
        <f t="shared" si="10"/>
        <v/>
      </c>
      <c r="B276">
        <f t="shared" si="11"/>
        <v>0</v>
      </c>
    </row>
    <row r="277" spans="1:2" hidden="1" x14ac:dyDescent="0.15">
      <c r="A277" t="str">
        <f t="shared" si="10"/>
        <v/>
      </c>
      <c r="B277">
        <f t="shared" si="11"/>
        <v>0</v>
      </c>
    </row>
    <row r="278" spans="1:2" hidden="1" x14ac:dyDescent="0.15">
      <c r="A278" t="str">
        <f t="shared" si="10"/>
        <v/>
      </c>
      <c r="B278">
        <f t="shared" si="11"/>
        <v>0</v>
      </c>
    </row>
    <row r="279" spans="1:2" hidden="1" x14ac:dyDescent="0.15">
      <c r="A279" t="str">
        <f t="shared" si="10"/>
        <v/>
      </c>
      <c r="B279">
        <f t="shared" si="11"/>
        <v>0</v>
      </c>
    </row>
    <row r="280" spans="1:2" hidden="1" x14ac:dyDescent="0.15">
      <c r="A280" t="str">
        <f t="shared" si="10"/>
        <v/>
      </c>
      <c r="B280">
        <f t="shared" si="11"/>
        <v>0</v>
      </c>
    </row>
    <row r="281" spans="1:2" hidden="1" x14ac:dyDescent="0.15">
      <c r="A281" t="str">
        <f t="shared" si="10"/>
        <v/>
      </c>
      <c r="B281">
        <f t="shared" si="11"/>
        <v>0</v>
      </c>
    </row>
    <row r="282" spans="1:2" hidden="1" x14ac:dyDescent="0.15">
      <c r="A282" t="str">
        <f t="shared" si="10"/>
        <v/>
      </c>
      <c r="B282">
        <f t="shared" si="11"/>
        <v>0</v>
      </c>
    </row>
    <row r="283" spans="1:2" hidden="1" x14ac:dyDescent="0.15">
      <c r="A283" t="str">
        <f t="shared" si="10"/>
        <v/>
      </c>
      <c r="B283">
        <f t="shared" si="11"/>
        <v>0</v>
      </c>
    </row>
    <row r="284" spans="1:2" hidden="1" x14ac:dyDescent="0.15">
      <c r="A284" t="str">
        <f t="shared" si="10"/>
        <v/>
      </c>
      <c r="B284">
        <f t="shared" si="11"/>
        <v>0</v>
      </c>
    </row>
    <row r="285" spans="1:2" hidden="1" x14ac:dyDescent="0.15">
      <c r="A285" t="str">
        <f t="shared" si="10"/>
        <v/>
      </c>
      <c r="B285">
        <f t="shared" si="11"/>
        <v>0</v>
      </c>
    </row>
    <row r="286" spans="1:2" hidden="1" x14ac:dyDescent="0.15">
      <c r="A286" t="str">
        <f t="shared" si="10"/>
        <v/>
      </c>
      <c r="B286">
        <f t="shared" si="11"/>
        <v>0</v>
      </c>
    </row>
    <row r="287" spans="1:2" hidden="1" x14ac:dyDescent="0.15">
      <c r="A287" t="str">
        <f t="shared" si="10"/>
        <v/>
      </c>
      <c r="B287">
        <f t="shared" si="11"/>
        <v>0</v>
      </c>
    </row>
    <row r="288" spans="1:2" hidden="1" x14ac:dyDescent="0.15">
      <c r="A288" t="str">
        <f t="shared" si="10"/>
        <v/>
      </c>
      <c r="B288">
        <f t="shared" si="11"/>
        <v>0</v>
      </c>
    </row>
    <row r="289" spans="1:2" hidden="1" x14ac:dyDescent="0.15">
      <c r="A289" t="str">
        <f t="shared" si="10"/>
        <v/>
      </c>
      <c r="B289">
        <f t="shared" si="11"/>
        <v>0</v>
      </c>
    </row>
    <row r="290" spans="1:2" hidden="1" x14ac:dyDescent="0.15">
      <c r="A290" t="str">
        <f t="shared" si="10"/>
        <v/>
      </c>
      <c r="B290">
        <f t="shared" si="11"/>
        <v>0</v>
      </c>
    </row>
    <row r="291" spans="1:2" hidden="1" x14ac:dyDescent="0.15">
      <c r="A291" t="str">
        <f t="shared" si="10"/>
        <v/>
      </c>
      <c r="B291">
        <f t="shared" si="11"/>
        <v>0</v>
      </c>
    </row>
    <row r="292" spans="1:2" hidden="1" x14ac:dyDescent="0.15">
      <c r="A292" t="str">
        <f t="shared" si="10"/>
        <v/>
      </c>
      <c r="B292">
        <f t="shared" si="11"/>
        <v>0</v>
      </c>
    </row>
  </sheetData>
  <autoFilter ref="A2:C292">
    <filterColumn colId="0">
      <customFilters>
        <customFilter operator="notEqual" val="*0*"/>
      </customFilters>
    </filterColumn>
    <filterColumn colId="1">
      <customFilters>
        <customFilter operator="greaterThanOrEqual" val="10"/>
      </customFilters>
    </filterColumn>
  </autoFilter>
  <phoneticPr fontId="1" type="noConversion"/>
  <hyperlinks>
    <hyperlink ref="C2" r:id="rId1" display="http://www.chinatimes.com/"/>
    <hyperlink ref="C4" r:id="rId2" display="http://www.chinatimes.com/money/"/>
    <hyperlink ref="C6" r:id="rId3" display="http://www.chinatimes.com/money/securities"/>
    <hyperlink ref="C12" r:id="rId4" display="http://www.chinatimes.com/realtimenews/20160308001807-260410"/>
    <hyperlink ref="C16" r:id="rId5" display="http://www.chinatimes.com/newspapers/20160308000264-260206"/>
    <hyperlink ref="C20" r:id="rId6" display="http://www.chinatimes.com/newspapers/20160308000262-260206"/>
    <hyperlink ref="C24" r:id="rId7" display="http://www.chinatimes.com/newspapers/20160308000260-260206"/>
    <hyperlink ref="C28" r:id="rId8" display="http://www.chinatimes.com/newspapers/20160308000258-260206"/>
    <hyperlink ref="C32" r:id="rId9" display="http://www.chinatimes.com/newspapers/20160308000255-260206"/>
    <hyperlink ref="C36" r:id="rId10" display="http://www.chinatimes.com/newspapers/20160308000253-260206"/>
    <hyperlink ref="C40" r:id="rId11" display="http://www.chinatimes.com/newspapers/20160308000252-260206"/>
    <hyperlink ref="C44" r:id="rId12" display="http://www.chinatimes.com/newspapers/20160308000251-260206"/>
    <hyperlink ref="C48" r:id="rId13" display="http://www.chinatimes.com/newspapers/20160308000249-260206"/>
    <hyperlink ref="C52" r:id="rId14" display="http://www.chinatimes.com/newspapers/20160308000248-260206"/>
    <hyperlink ref="C56" r:id="rId15" display="http://www.chinatimes.com/newspapers/20160308000247-260206"/>
    <hyperlink ref="C60" r:id="rId16" display="http://www.chinatimes.com/newspapers/20160308000245-260206"/>
    <hyperlink ref="C64" r:id="rId17" display="http://www.chinatimes.com/newspapers/20160308000231-260206"/>
    <hyperlink ref="C68" r:id="rId18" display="http://www.chinatimes.com/newspapers/20160308000229-260206"/>
    <hyperlink ref="C72" r:id="rId19" display="http://www.chinatimes.com/newspapers/20160308000228-260206"/>
    <hyperlink ref="C76" r:id="rId20" display="http://www.chinatimes.com/newspapers/20160308000227-260206"/>
    <hyperlink ref="C80" r:id="rId21" display="http://www.chinatimes.com/newspapers/20160308000226-260206"/>
    <hyperlink ref="C84" r:id="rId22" display="http://www.chinatimes.com/newspapers/20160308000225-260206"/>
    <hyperlink ref="C88" r:id="rId23" display="http://www.chinatimes.com/newspapers/20160308000224-260206"/>
    <hyperlink ref="C92" r:id="rId24" display="http://www.chinatimes.com/newspapers/20160308000223-260206"/>
    <hyperlink ref="C96" r:id="rId25" display="http://www.chinatimes.com/newspapers/20160308000221-260206"/>
    <hyperlink ref="C100" r:id="rId26" display="http://www.chinatimes.com/newspapers/20160308000220-260206"/>
    <hyperlink ref="C104" r:id="rId27" display="http://www.chinatimes.com/newspapers/20160308000218-260206"/>
    <hyperlink ref="C108" r:id="rId28" display="http://www.chinatimes.com/newspapers/20160308000216-260206"/>
    <hyperlink ref="C112" r:id="rId29" display="http://www.chinatimes.com/newspapers/20160308000214-260206"/>
    <hyperlink ref="C116" r:id="rId30" display="http://www.chinatimes.com/newspapers/20160308000213-260206"/>
    <hyperlink ref="C120" r:id="rId31" display="http://www.chinatimes.com/newspapers/20160308000212-260206"/>
    <hyperlink ref="C124" r:id="rId32" display="http://www.chinatimes.com/newspapers/20160308000211-260206"/>
    <hyperlink ref="C128" r:id="rId33" display="http://www.chinatimes.com/newspapers/20160308000210-260206"/>
    <hyperlink ref="C132" r:id="rId34" display="http://www.chinatimes.com/money/securities?page=1"/>
    <hyperlink ref="C133" r:id="rId35" display="http://www.chinatimes.com/money/securities?page=1"/>
    <hyperlink ref="C134" r:id="rId36" display="http://www.chinatimes.com/money/securities?page=1"/>
    <hyperlink ref="C136" r:id="rId37" display="http://www.chinatimes.com/money/securities?page=3"/>
    <hyperlink ref="C137" r:id="rId38" display="http://www.chinatimes.com/money/securities?page=4"/>
    <hyperlink ref="C138" r:id="rId39" display="http://www.chinatimes.com/money/securities?page=5"/>
    <hyperlink ref="C139" r:id="rId40" display="http://www.chinatimes.com/money/securities?page=6"/>
    <hyperlink ref="C140" r:id="rId41" display="http://www.chinatimes.com/money/securities?page=7"/>
    <hyperlink ref="C141" r:id="rId42" display="http://www.chinatimes.com/money/securities?page=8"/>
    <hyperlink ref="C142" r:id="rId43" display="http://www.chinatimes.com/money/securities?page=9"/>
    <hyperlink ref="C143" r:id="rId44" display="http://www.chinatimes.com/money/securities?page=10"/>
    <hyperlink ref="C144" r:id="rId45" display="http://www.chinatimes.com/money/securities?page=3"/>
    <hyperlink ref="C145" r:id="rId46" display="http://www.chinatimes.com/money/securities?page=10"/>
    <hyperlink ref="C147" r:id="rId47" display="http://www.chinatimes.com/realtimenews/20160308001933-260410"/>
    <hyperlink ref="C151" r:id="rId48" tooltip="油價續彈！美股收漲67點 連5紅" display="http://www.chinatimes.com/realtimenews/20160308001076-260410"/>
    <hyperlink ref="C153" r:id="rId49" display="http://www.chinatimes.com/realtimenews/20160308001076-260410"/>
    <hyperlink ref="C158" r:id="rId50" display="http://www.chinatimes.com/newspapers/20160308000047-260202"/>
    <hyperlink ref="C160" r:id="rId51" display="http://www.chinatimes.com/newspapers/20160308000189-260206"/>
    <hyperlink ref="C162" r:id="rId52" display="http://www.chinatimes.com/realtimenews/20160308001076-260410"/>
    <hyperlink ref="C164" r:id="rId53" display="http://www.chinatimes.com/newspapers/20160308000060-260202"/>
    <hyperlink ref="C166" r:id="rId54" display="http://www.chinatimes.com/newspapers/20160308000043-260202"/>
    <hyperlink ref="C170" r:id="rId55" display="https://www.facebook.com/CTfans"/>
    <hyperlink ref="C172" location="top" display="top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 enableFormatConditionsCalculation="0"/>
  <dimension ref="B1:F314"/>
  <sheetViews>
    <sheetView topLeftCell="A174" workbookViewId="0">
      <selection activeCell="B131" sqref="B131:B190"/>
    </sheetView>
  </sheetViews>
  <sheetFormatPr baseColWidth="10" defaultColWidth="8.83203125" defaultRowHeight="15" x14ac:dyDescent="0.15"/>
  <cols>
    <col min="2" max="2" width="47.6640625" customWidth="1"/>
    <col min="3" max="5" width="8.83203125" customWidth="1"/>
    <col min="6" max="6" width="11.1640625" customWidth="1"/>
  </cols>
  <sheetData>
    <row r="1" spans="2:3" ht="16" thickBot="1" x14ac:dyDescent="0.2">
      <c r="C1" t="s">
        <v>155</v>
      </c>
    </row>
    <row r="2" spans="2:3" ht="16" hidden="1" thickBot="1" x14ac:dyDescent="0.2">
      <c r="B2" s="4" t="s">
        <v>11</v>
      </c>
    </row>
    <row r="3" spans="2:3" ht="16" hidden="1" thickBot="1" x14ac:dyDescent="0.2">
      <c r="B3" s="4" t="s">
        <v>12</v>
      </c>
    </row>
    <row r="4" spans="2:3" ht="16" hidden="1" thickBot="1" x14ac:dyDescent="0.2">
      <c r="B4" s="4" t="s">
        <v>13</v>
      </c>
    </row>
    <row r="5" spans="2:3" ht="16" hidden="1" thickBot="1" x14ac:dyDescent="0.2">
      <c r="B5" s="4" t="s">
        <v>14</v>
      </c>
    </row>
    <row r="6" spans="2:3" ht="16" hidden="1" thickBot="1" x14ac:dyDescent="0.2">
      <c r="B6" s="4" t="s">
        <v>15</v>
      </c>
    </row>
    <row r="7" spans="2:3" ht="16" hidden="1" thickBot="1" x14ac:dyDescent="0.2">
      <c r="B7" s="4" t="s">
        <v>16</v>
      </c>
    </row>
    <row r="8" spans="2:3" ht="16" hidden="1" thickBot="1" x14ac:dyDescent="0.2">
      <c r="B8" s="4" t="s">
        <v>17</v>
      </c>
    </row>
    <row r="9" spans="2:3" ht="16" hidden="1" thickBot="1" x14ac:dyDescent="0.2">
      <c r="B9" s="4" t="s">
        <v>18</v>
      </c>
    </row>
    <row r="10" spans="2:3" ht="16" hidden="1" thickBot="1" x14ac:dyDescent="0.2">
      <c r="B10" s="4" t="s">
        <v>19</v>
      </c>
    </row>
    <row r="11" spans="2:3" ht="16" hidden="1" thickBot="1" x14ac:dyDescent="0.2">
      <c r="B11" s="4" t="s">
        <v>20</v>
      </c>
    </row>
    <row r="12" spans="2:3" ht="16" hidden="1" thickBot="1" x14ac:dyDescent="0.2">
      <c r="B12" s="4" t="s">
        <v>21</v>
      </c>
    </row>
    <row r="13" spans="2:3" ht="16" hidden="1" thickBot="1" x14ac:dyDescent="0.2">
      <c r="B13" s="4" t="s">
        <v>22</v>
      </c>
    </row>
    <row r="14" spans="2:3" ht="16" hidden="1" thickBot="1" x14ac:dyDescent="0.2">
      <c r="B14" s="4" t="s">
        <v>23</v>
      </c>
    </row>
    <row r="15" spans="2:3" ht="16" hidden="1" thickBot="1" x14ac:dyDescent="0.2">
      <c r="B15" s="4" t="s">
        <v>24</v>
      </c>
    </row>
    <row r="16" spans="2:3" ht="16" hidden="1" thickBot="1" x14ac:dyDescent="0.2">
      <c r="B16" s="4" t="s">
        <v>25</v>
      </c>
    </row>
    <row r="17" spans="2:2" ht="16" hidden="1" thickBot="1" x14ac:dyDescent="0.2">
      <c r="B17" s="2" t="s">
        <v>16</v>
      </c>
    </row>
    <row r="18" spans="2:2" ht="16" hidden="1" thickBot="1" x14ac:dyDescent="0.2">
      <c r="B18" s="2" t="s">
        <v>17</v>
      </c>
    </row>
    <row r="19" spans="2:2" ht="16" hidden="1" thickBot="1" x14ac:dyDescent="0.2">
      <c r="B19" s="2" t="s">
        <v>18</v>
      </c>
    </row>
    <row r="20" spans="2:2" ht="16" hidden="1" thickBot="1" x14ac:dyDescent="0.2">
      <c r="B20" s="2" t="s">
        <v>19</v>
      </c>
    </row>
    <row r="21" spans="2:2" ht="16" hidden="1" thickBot="1" x14ac:dyDescent="0.2">
      <c r="B21" s="2" t="s">
        <v>20</v>
      </c>
    </row>
    <row r="22" spans="2:2" ht="16" hidden="1" thickBot="1" x14ac:dyDescent="0.2">
      <c r="B22" s="2" t="s">
        <v>21</v>
      </c>
    </row>
    <row r="23" spans="2:2" ht="16" hidden="1" thickBot="1" x14ac:dyDescent="0.2">
      <c r="B23" s="2" t="s">
        <v>22</v>
      </c>
    </row>
    <row r="24" spans="2:2" ht="16" hidden="1" thickBot="1" x14ac:dyDescent="0.2">
      <c r="B24" s="2" t="s">
        <v>23</v>
      </c>
    </row>
    <row r="25" spans="2:2" ht="16" hidden="1" thickBot="1" x14ac:dyDescent="0.2">
      <c r="B25" s="2" t="s">
        <v>24</v>
      </c>
    </row>
    <row r="26" spans="2:2" ht="16" hidden="1" thickBot="1" x14ac:dyDescent="0.2">
      <c r="B26" s="2" t="s">
        <v>26</v>
      </c>
    </row>
    <row r="27" spans="2:2" ht="16" hidden="1" thickBot="1" x14ac:dyDescent="0.2">
      <c r="B27" s="2" t="s">
        <v>27</v>
      </c>
    </row>
    <row r="28" spans="2:2" ht="16" hidden="1" thickBot="1" x14ac:dyDescent="0.2">
      <c r="B28" s="2" t="s">
        <v>1</v>
      </c>
    </row>
    <row r="29" spans="2:2" ht="16" hidden="1" thickBot="1" x14ac:dyDescent="0.2">
      <c r="B29" s="2" t="s">
        <v>28</v>
      </c>
    </row>
    <row r="30" spans="2:2" ht="16" hidden="1" thickBot="1" x14ac:dyDescent="0.2">
      <c r="B30" s="2" t="s">
        <v>29</v>
      </c>
    </row>
    <row r="31" spans="2:2" ht="16" hidden="1" thickBot="1" x14ac:dyDescent="0.2">
      <c r="B31" s="2" t="s">
        <v>30</v>
      </c>
    </row>
    <row r="32" spans="2:2" ht="16" hidden="1" thickBot="1" x14ac:dyDescent="0.2">
      <c r="B32" s="2" t="s">
        <v>31</v>
      </c>
    </row>
    <row r="33" spans="2:2" ht="16" hidden="1" thickBot="1" x14ac:dyDescent="0.2">
      <c r="B33" s="2" t="s">
        <v>32</v>
      </c>
    </row>
    <row r="34" spans="2:2" ht="16" hidden="1" thickBot="1" x14ac:dyDescent="0.2">
      <c r="B34" s="2" t="s">
        <v>33</v>
      </c>
    </row>
    <row r="35" spans="2:2" ht="16" hidden="1" thickBot="1" x14ac:dyDescent="0.2">
      <c r="B35" s="2" t="s">
        <v>34</v>
      </c>
    </row>
    <row r="36" spans="2:2" ht="16" hidden="1" thickBot="1" x14ac:dyDescent="0.2">
      <c r="B36" s="2" t="s">
        <v>35</v>
      </c>
    </row>
    <row r="37" spans="2:2" ht="16" hidden="1" thickBot="1" x14ac:dyDescent="0.2">
      <c r="B37" s="2" t="s">
        <v>36</v>
      </c>
    </row>
    <row r="38" spans="2:2" ht="16" hidden="1" thickBot="1" x14ac:dyDescent="0.2">
      <c r="B38" s="2" t="s">
        <v>37</v>
      </c>
    </row>
    <row r="39" spans="2:2" ht="16" hidden="1" thickBot="1" x14ac:dyDescent="0.2">
      <c r="B39" s="36" t="s">
        <v>3443</v>
      </c>
    </row>
    <row r="40" spans="2:2" ht="16" hidden="1" thickBot="1" x14ac:dyDescent="0.2">
      <c r="B40" s="4" t="s">
        <v>27</v>
      </c>
    </row>
    <row r="41" spans="2:2" ht="16" hidden="1" thickBot="1" x14ac:dyDescent="0.2">
      <c r="B41" s="4" t="s">
        <v>1</v>
      </c>
    </row>
    <row r="42" spans="2:2" ht="16" hidden="1" thickBot="1" x14ac:dyDescent="0.2">
      <c r="B42" s="4" t="s">
        <v>19</v>
      </c>
    </row>
    <row r="43" spans="2:2" ht="16" hidden="1" thickBot="1" x14ac:dyDescent="0.2">
      <c r="B43" s="4" t="s">
        <v>28</v>
      </c>
    </row>
    <row r="44" spans="2:2" ht="16" hidden="1" thickBot="1" x14ac:dyDescent="0.2">
      <c r="B44" s="4" t="s">
        <v>38</v>
      </c>
    </row>
    <row r="45" spans="2:2" ht="16" hidden="1" thickBot="1" x14ac:dyDescent="0.2">
      <c r="B45" s="4" t="s">
        <v>23</v>
      </c>
    </row>
    <row r="46" spans="2:2" ht="16" hidden="1" thickBot="1" x14ac:dyDescent="0.2">
      <c r="B46" s="4" t="s">
        <v>24</v>
      </c>
    </row>
    <row r="47" spans="2:2" ht="16" hidden="1" thickBot="1" x14ac:dyDescent="0.2">
      <c r="B47" s="4" t="s">
        <v>39</v>
      </c>
    </row>
    <row r="48" spans="2:2" ht="16" hidden="1" thickBot="1" x14ac:dyDescent="0.2">
      <c r="B48" s="4" t="s">
        <v>14</v>
      </c>
    </row>
    <row r="49" spans="2:2" ht="16" hidden="1" thickBot="1" x14ac:dyDescent="0.2">
      <c r="B49" s="4" t="s">
        <v>30</v>
      </c>
    </row>
    <row r="50" spans="2:2" ht="16" hidden="1" thickBot="1" x14ac:dyDescent="0.2">
      <c r="B50" s="4" t="s">
        <v>31</v>
      </c>
    </row>
    <row r="51" spans="2:2" ht="16" hidden="1" thickBot="1" x14ac:dyDescent="0.2">
      <c r="B51" s="4" t="s">
        <v>32</v>
      </c>
    </row>
    <row r="52" spans="2:2" ht="16" hidden="1" thickBot="1" x14ac:dyDescent="0.2">
      <c r="B52" s="4" t="s">
        <v>21</v>
      </c>
    </row>
    <row r="53" spans="2:2" ht="16" hidden="1" thickBot="1" x14ac:dyDescent="0.2">
      <c r="B53" s="4" t="s">
        <v>22</v>
      </c>
    </row>
    <row r="54" spans="2:2" ht="16" hidden="1" thickBot="1" x14ac:dyDescent="0.2">
      <c r="B54" s="4" t="s">
        <v>20</v>
      </c>
    </row>
    <row r="55" spans="2:2" ht="16" hidden="1" thickBot="1" x14ac:dyDescent="0.2">
      <c r="B55" s="4" t="s">
        <v>33</v>
      </c>
    </row>
    <row r="56" spans="2:2" ht="16" hidden="1" thickBot="1" x14ac:dyDescent="0.2">
      <c r="B56" s="4" t="s">
        <v>34</v>
      </c>
    </row>
    <row r="57" spans="2:2" ht="16" hidden="1" thickBot="1" x14ac:dyDescent="0.2">
      <c r="B57" s="4" t="s">
        <v>35</v>
      </c>
    </row>
    <row r="58" spans="2:2" ht="16" hidden="1" thickBot="1" x14ac:dyDescent="0.2">
      <c r="B58" s="4" t="s">
        <v>11</v>
      </c>
    </row>
    <row r="59" spans="2:2" ht="16" hidden="1" thickBot="1" x14ac:dyDescent="0.2">
      <c r="B59" s="4" t="s">
        <v>12</v>
      </c>
    </row>
    <row r="60" spans="2:2" ht="16" hidden="1" thickBot="1" x14ac:dyDescent="0.2">
      <c r="B60" s="4" t="s">
        <v>36</v>
      </c>
    </row>
    <row r="61" spans="2:2" ht="16" hidden="1" thickBot="1" x14ac:dyDescent="0.2">
      <c r="B61" s="4" t="s">
        <v>37</v>
      </c>
    </row>
    <row r="62" spans="2:2" ht="16" hidden="1" thickBot="1" x14ac:dyDescent="0.2">
      <c r="B62" s="37" t="s">
        <v>3869</v>
      </c>
    </row>
    <row r="63" spans="2:2" ht="16" hidden="1" thickBot="1" x14ac:dyDescent="0.2">
      <c r="B63" s="4" t="s">
        <v>0</v>
      </c>
    </row>
    <row r="64" spans="2:2" ht="16" hidden="1" thickBot="1" x14ac:dyDescent="0.2">
      <c r="B64" s="4" t="s">
        <v>40</v>
      </c>
    </row>
    <row r="65" spans="2:2" ht="16" hidden="1" thickBot="1" x14ac:dyDescent="0.2">
      <c r="B65" s="4" t="s">
        <v>2</v>
      </c>
    </row>
    <row r="66" spans="2:2" ht="16" hidden="1" thickBot="1" x14ac:dyDescent="0.2">
      <c r="B66" s="4" t="s">
        <v>41</v>
      </c>
    </row>
    <row r="67" spans="2:2" ht="16" hidden="1" thickBot="1" x14ac:dyDescent="0.2">
      <c r="B67" s="4" t="s">
        <v>42</v>
      </c>
    </row>
    <row r="68" spans="2:2" ht="16" hidden="1" thickBot="1" x14ac:dyDescent="0.2">
      <c r="B68" s="4" t="s">
        <v>43</v>
      </c>
    </row>
    <row r="69" spans="2:2" ht="16" hidden="1" thickBot="1" x14ac:dyDescent="0.2">
      <c r="B69" s="4" t="s">
        <v>44</v>
      </c>
    </row>
    <row r="70" spans="2:2" ht="16" hidden="1" thickBot="1" x14ac:dyDescent="0.2">
      <c r="B70" s="4" t="s">
        <v>45</v>
      </c>
    </row>
    <row r="71" spans="2:2" ht="16" hidden="1" thickBot="1" x14ac:dyDescent="0.2">
      <c r="B71" s="4" t="s">
        <v>46</v>
      </c>
    </row>
    <row r="72" spans="2:2" ht="16" hidden="1" thickBot="1" x14ac:dyDescent="0.2">
      <c r="B72" s="4" t="s">
        <v>38</v>
      </c>
    </row>
    <row r="73" spans="2:2" ht="16" hidden="1" thickBot="1" x14ac:dyDescent="0.2">
      <c r="B73" s="4" t="s">
        <v>47</v>
      </c>
    </row>
    <row r="74" spans="2:2" ht="16" hidden="1" thickBot="1" x14ac:dyDescent="0.2">
      <c r="B74" s="4" t="s">
        <v>48</v>
      </c>
    </row>
    <row r="75" spans="2:2" ht="16" hidden="1" thickBot="1" x14ac:dyDescent="0.2">
      <c r="B75" s="4" t="s">
        <v>49</v>
      </c>
    </row>
    <row r="76" spans="2:2" ht="16" hidden="1" thickBot="1" x14ac:dyDescent="0.2">
      <c r="B76" s="4" t="s">
        <v>50</v>
      </c>
    </row>
    <row r="77" spans="2:2" ht="16" hidden="1" thickBot="1" x14ac:dyDescent="0.2">
      <c r="B77" s="4" t="s">
        <v>51</v>
      </c>
    </row>
    <row r="78" spans="2:2" ht="16" hidden="1" thickBot="1" x14ac:dyDescent="0.2">
      <c r="B78" s="4" t="s">
        <v>52</v>
      </c>
    </row>
    <row r="79" spans="2:2" ht="16" hidden="1" thickBot="1" x14ac:dyDescent="0.2">
      <c r="B79" s="4" t="s">
        <v>53</v>
      </c>
    </row>
    <row r="80" spans="2:2" ht="16" hidden="1" thickBot="1" x14ac:dyDescent="0.2">
      <c r="B80" s="4" t="s">
        <v>54</v>
      </c>
    </row>
    <row r="81" spans="2:2" ht="16" hidden="1" thickBot="1" x14ac:dyDescent="0.2">
      <c r="B81" s="4" t="s">
        <v>55</v>
      </c>
    </row>
    <row r="82" spans="2:2" ht="16" hidden="1" thickBot="1" x14ac:dyDescent="0.2">
      <c r="B82" s="4" t="s">
        <v>56</v>
      </c>
    </row>
    <row r="83" spans="2:2" ht="16" hidden="1" thickBot="1" x14ac:dyDescent="0.2">
      <c r="B83" s="4" t="s">
        <v>0</v>
      </c>
    </row>
    <row r="84" spans="2:2" ht="16" hidden="1" thickBot="1" x14ac:dyDescent="0.2">
      <c r="B84" s="4" t="s">
        <v>40</v>
      </c>
    </row>
    <row r="85" spans="2:2" ht="16" hidden="1" thickBot="1" x14ac:dyDescent="0.2">
      <c r="B85" s="4" t="s">
        <v>57</v>
      </c>
    </row>
    <row r="86" spans="2:2" ht="16" hidden="1" thickBot="1" x14ac:dyDescent="0.2">
      <c r="B86" s="4" t="s">
        <v>2</v>
      </c>
    </row>
    <row r="87" spans="2:2" ht="16" hidden="1" thickBot="1" x14ac:dyDescent="0.2">
      <c r="B87" s="4" t="s">
        <v>41</v>
      </c>
    </row>
    <row r="88" spans="2:2" ht="16" hidden="1" thickBot="1" x14ac:dyDescent="0.2">
      <c r="B88" s="4" t="s">
        <v>42</v>
      </c>
    </row>
    <row r="89" spans="2:2" ht="16" hidden="1" thickBot="1" x14ac:dyDescent="0.2">
      <c r="B89" s="4" t="s">
        <v>43</v>
      </c>
    </row>
    <row r="90" spans="2:2" ht="16" hidden="1" thickBot="1" x14ac:dyDescent="0.2">
      <c r="B90" s="4" t="s">
        <v>44</v>
      </c>
    </row>
    <row r="91" spans="2:2" ht="16" hidden="1" thickBot="1" x14ac:dyDescent="0.2">
      <c r="B91" s="4" t="s">
        <v>45</v>
      </c>
    </row>
    <row r="92" spans="2:2" ht="16" hidden="1" thickBot="1" x14ac:dyDescent="0.2">
      <c r="B92" s="4" t="s">
        <v>46</v>
      </c>
    </row>
    <row r="93" spans="2:2" ht="16" hidden="1" thickBot="1" x14ac:dyDescent="0.2">
      <c r="B93" s="4" t="s">
        <v>38</v>
      </c>
    </row>
    <row r="94" spans="2:2" ht="16" hidden="1" thickBot="1" x14ac:dyDescent="0.2">
      <c r="B94" s="4" t="s">
        <v>47</v>
      </c>
    </row>
    <row r="95" spans="2:2" ht="16" hidden="1" thickBot="1" x14ac:dyDescent="0.2">
      <c r="B95" s="4" t="s">
        <v>48</v>
      </c>
    </row>
    <row r="96" spans="2:2" ht="16" hidden="1" thickBot="1" x14ac:dyDescent="0.2">
      <c r="B96" s="4" t="s">
        <v>49</v>
      </c>
    </row>
    <row r="97" spans="2:2" ht="16" hidden="1" thickBot="1" x14ac:dyDescent="0.2">
      <c r="B97" s="4" t="s">
        <v>50</v>
      </c>
    </row>
    <row r="98" spans="2:2" ht="16" hidden="1" thickBot="1" x14ac:dyDescent="0.2">
      <c r="B98" s="4" t="s">
        <v>51</v>
      </c>
    </row>
    <row r="99" spans="2:2" ht="16" hidden="1" thickBot="1" x14ac:dyDescent="0.2">
      <c r="B99" s="4" t="s">
        <v>52</v>
      </c>
    </row>
    <row r="100" spans="2:2" ht="16" hidden="1" thickBot="1" x14ac:dyDescent="0.2">
      <c r="B100" s="4" t="s">
        <v>53</v>
      </c>
    </row>
    <row r="101" spans="2:2" ht="16" hidden="1" thickBot="1" x14ac:dyDescent="0.2">
      <c r="B101" s="4" t="s">
        <v>54</v>
      </c>
    </row>
    <row r="102" spans="2:2" ht="16" hidden="1" thickBot="1" x14ac:dyDescent="0.2">
      <c r="B102" s="4" t="s">
        <v>55</v>
      </c>
    </row>
    <row r="103" spans="2:2" ht="16" hidden="1" thickBot="1" x14ac:dyDescent="0.2">
      <c r="B103" s="4" t="s">
        <v>24</v>
      </c>
    </row>
    <row r="104" spans="2:2" ht="16" hidden="1" thickBot="1" x14ac:dyDescent="0.2">
      <c r="B104" s="4" t="s">
        <v>23</v>
      </c>
    </row>
    <row r="105" spans="2:2" ht="16" hidden="1" thickBot="1" x14ac:dyDescent="0.2">
      <c r="B105" s="4" t="s">
        <v>56</v>
      </c>
    </row>
    <row r="106" spans="2:2" ht="16" hidden="1" thickBot="1" x14ac:dyDescent="0.2">
      <c r="B106" s="4" t="s">
        <v>58</v>
      </c>
    </row>
    <row r="107" spans="2:2" ht="16" hidden="1" thickBot="1" x14ac:dyDescent="0.2">
      <c r="B107" s="4" t="s">
        <v>3870</v>
      </c>
    </row>
    <row r="108" spans="2:2" ht="16" hidden="1" thickBot="1" x14ac:dyDescent="0.2">
      <c r="B108" s="4" t="s">
        <v>59</v>
      </c>
    </row>
    <row r="109" spans="2:2" ht="16" hidden="1" thickBot="1" x14ac:dyDescent="0.2">
      <c r="B109" s="4" t="s">
        <v>60</v>
      </c>
    </row>
    <row r="110" spans="2:2" ht="16" hidden="1" thickBot="1" x14ac:dyDescent="0.2">
      <c r="B110" s="4" t="s">
        <v>40</v>
      </c>
    </row>
    <row r="111" spans="2:2" ht="16" hidden="1" thickBot="1" x14ac:dyDescent="0.2">
      <c r="B111" s="4" t="s">
        <v>2</v>
      </c>
    </row>
    <row r="112" spans="2:2" ht="16" hidden="1" thickBot="1" x14ac:dyDescent="0.2">
      <c r="B112" s="4" t="s">
        <v>41</v>
      </c>
    </row>
    <row r="113" spans="2:2" ht="16" hidden="1" thickBot="1" x14ac:dyDescent="0.2">
      <c r="B113" s="4" t="s">
        <v>42</v>
      </c>
    </row>
    <row r="114" spans="2:2" ht="16" hidden="1" thickBot="1" x14ac:dyDescent="0.2">
      <c r="B114" s="4" t="s">
        <v>43</v>
      </c>
    </row>
    <row r="115" spans="2:2" ht="16" hidden="1" thickBot="1" x14ac:dyDescent="0.2">
      <c r="B115" s="4" t="s">
        <v>44</v>
      </c>
    </row>
    <row r="116" spans="2:2" ht="16" hidden="1" thickBot="1" x14ac:dyDescent="0.2">
      <c r="B116" s="4" t="s">
        <v>45</v>
      </c>
    </row>
    <row r="117" spans="2:2" ht="16" hidden="1" thickBot="1" x14ac:dyDescent="0.2">
      <c r="B117" s="4" t="s">
        <v>46</v>
      </c>
    </row>
    <row r="118" spans="2:2" ht="16" hidden="1" thickBot="1" x14ac:dyDescent="0.2">
      <c r="B118" s="4" t="s">
        <v>47</v>
      </c>
    </row>
    <row r="119" spans="2:2" ht="16" hidden="1" thickBot="1" x14ac:dyDescent="0.2">
      <c r="B119" s="4" t="s">
        <v>48</v>
      </c>
    </row>
    <row r="120" spans="2:2" ht="16" hidden="1" thickBot="1" x14ac:dyDescent="0.2">
      <c r="B120" s="4" t="s">
        <v>49</v>
      </c>
    </row>
    <row r="121" spans="2:2" ht="16" hidden="1" thickBot="1" x14ac:dyDescent="0.2">
      <c r="B121" s="4" t="s">
        <v>50</v>
      </c>
    </row>
    <row r="122" spans="2:2" ht="16" hidden="1" thickBot="1" x14ac:dyDescent="0.2">
      <c r="B122" s="4" t="s">
        <v>51</v>
      </c>
    </row>
    <row r="123" spans="2:2" ht="16" hidden="1" thickBot="1" x14ac:dyDescent="0.2">
      <c r="B123" s="4" t="s">
        <v>52</v>
      </c>
    </row>
    <row r="124" spans="2:2" ht="16" hidden="1" thickBot="1" x14ac:dyDescent="0.2">
      <c r="B124" s="4" t="s">
        <v>53</v>
      </c>
    </row>
    <row r="125" spans="2:2" ht="16" hidden="1" thickBot="1" x14ac:dyDescent="0.2">
      <c r="B125" s="4" t="s">
        <v>54</v>
      </c>
    </row>
    <row r="126" spans="2:2" ht="16" hidden="1" thickBot="1" x14ac:dyDescent="0.2">
      <c r="B126" s="4" t="s">
        <v>55</v>
      </c>
    </row>
    <row r="127" spans="2:2" ht="16" hidden="1" thickBot="1" x14ac:dyDescent="0.2">
      <c r="B127" s="4" t="s">
        <v>61</v>
      </c>
    </row>
    <row r="128" spans="2:2" ht="16" hidden="1" thickBot="1" x14ac:dyDescent="0.2">
      <c r="B128" s="4" t="s">
        <v>62</v>
      </c>
    </row>
    <row r="129" spans="2:6" ht="16" hidden="1" thickBot="1" x14ac:dyDescent="0.2">
      <c r="B129" s="4" t="s">
        <v>63</v>
      </c>
    </row>
    <row r="130" spans="2:6" ht="17" hidden="1" thickBot="1" x14ac:dyDescent="0.2">
      <c r="B130" s="6" t="s">
        <v>64</v>
      </c>
      <c r="C130" s="7" t="s">
        <v>65</v>
      </c>
      <c r="D130" s="7" t="s">
        <v>66</v>
      </c>
      <c r="E130" s="8" t="s">
        <v>67</v>
      </c>
      <c r="F130" s="7" t="s">
        <v>68</v>
      </c>
    </row>
    <row r="131" spans="2:6" ht="17" thickBot="1" x14ac:dyDescent="0.2">
      <c r="B131" s="9" t="s">
        <v>3871</v>
      </c>
      <c r="C131" s="10" t="s">
        <v>45</v>
      </c>
      <c r="D131" s="11">
        <v>42437.227083333331</v>
      </c>
      <c r="E131" s="12">
        <v>340</v>
      </c>
      <c r="F131" s="13" t="s">
        <v>69</v>
      </c>
    </row>
    <row r="132" spans="2:6" ht="17" thickBot="1" x14ac:dyDescent="0.2">
      <c r="B132" s="9" t="s">
        <v>3872</v>
      </c>
      <c r="C132" s="10" t="s">
        <v>45</v>
      </c>
      <c r="D132" s="11">
        <v>42437.227083333331</v>
      </c>
      <c r="E132" s="12">
        <v>355</v>
      </c>
      <c r="F132" s="13" t="s">
        <v>69</v>
      </c>
    </row>
    <row r="133" spans="2:6" ht="17" thickBot="1" x14ac:dyDescent="0.2">
      <c r="B133" s="9" t="s">
        <v>3873</v>
      </c>
      <c r="C133" s="10" t="s">
        <v>45</v>
      </c>
      <c r="D133" s="11">
        <v>42437.224999999999</v>
      </c>
      <c r="E133" s="12">
        <v>144</v>
      </c>
      <c r="F133" s="13" t="s">
        <v>69</v>
      </c>
    </row>
    <row r="134" spans="2:6" ht="17" thickBot="1" x14ac:dyDescent="0.2">
      <c r="B134" s="9" t="s">
        <v>3874</v>
      </c>
      <c r="C134" s="10" t="s">
        <v>45</v>
      </c>
      <c r="D134" s="11">
        <v>42437.21875</v>
      </c>
      <c r="E134" s="12">
        <v>88</v>
      </c>
      <c r="F134" s="13" t="s">
        <v>69</v>
      </c>
    </row>
    <row r="135" spans="2:6" ht="17" thickBot="1" x14ac:dyDescent="0.2">
      <c r="B135" s="9" t="s">
        <v>3875</v>
      </c>
      <c r="C135" s="10" t="s">
        <v>45</v>
      </c>
      <c r="D135" s="11">
        <v>42437.21875</v>
      </c>
      <c r="E135" s="12">
        <v>72</v>
      </c>
      <c r="F135" s="13" t="s">
        <v>69</v>
      </c>
    </row>
    <row r="136" spans="2:6" ht="17" thickBot="1" x14ac:dyDescent="0.2">
      <c r="B136" s="9" t="s">
        <v>3876</v>
      </c>
      <c r="C136" s="10" t="s">
        <v>45</v>
      </c>
      <c r="D136" s="11">
        <v>42437.217361111114</v>
      </c>
      <c r="E136" s="12">
        <v>63</v>
      </c>
      <c r="F136" s="13" t="s">
        <v>69</v>
      </c>
    </row>
    <row r="137" spans="2:6" ht="17" thickBot="1" x14ac:dyDescent="0.2">
      <c r="B137" s="9" t="s">
        <v>3877</v>
      </c>
      <c r="C137" s="10" t="s">
        <v>45</v>
      </c>
      <c r="D137" s="11">
        <v>42437.197916666664</v>
      </c>
      <c r="E137" s="12">
        <v>140</v>
      </c>
      <c r="F137" s="13" t="s">
        <v>69</v>
      </c>
    </row>
    <row r="138" spans="2:6" ht="17" thickBot="1" x14ac:dyDescent="0.2">
      <c r="B138" s="9" t="s">
        <v>3878</v>
      </c>
      <c r="C138" s="10" t="s">
        <v>45</v>
      </c>
      <c r="D138" s="11">
        <v>42437.197916666664</v>
      </c>
      <c r="E138" s="12">
        <v>158</v>
      </c>
      <c r="F138" s="13" t="s">
        <v>69</v>
      </c>
    </row>
    <row r="139" spans="2:6" ht="17" thickBot="1" x14ac:dyDescent="0.2">
      <c r="B139" s="9" t="s">
        <v>3879</v>
      </c>
      <c r="C139" s="10" t="s">
        <v>45</v>
      </c>
      <c r="D139" s="11">
        <v>42437.197916666664</v>
      </c>
      <c r="E139" s="12">
        <v>295</v>
      </c>
      <c r="F139" s="13" t="s">
        <v>69</v>
      </c>
    </row>
    <row r="140" spans="2:6" ht="17" thickBot="1" x14ac:dyDescent="0.2">
      <c r="B140" s="9" t="s">
        <v>3880</v>
      </c>
      <c r="C140" s="10" t="s">
        <v>45</v>
      </c>
      <c r="D140" s="11">
        <v>42437.197916666664</v>
      </c>
      <c r="E140" s="12">
        <v>373</v>
      </c>
      <c r="F140" s="13" t="s">
        <v>69</v>
      </c>
    </row>
    <row r="141" spans="2:6" ht="17" thickBot="1" x14ac:dyDescent="0.2">
      <c r="B141" s="9" t="s">
        <v>3881</v>
      </c>
      <c r="C141" s="10" t="s">
        <v>45</v>
      </c>
      <c r="D141" s="11">
        <v>42437.196527777778</v>
      </c>
      <c r="E141" s="12">
        <v>25</v>
      </c>
      <c r="F141" s="13" t="s">
        <v>69</v>
      </c>
    </row>
    <row r="142" spans="2:6" ht="17" thickBot="1" x14ac:dyDescent="0.2">
      <c r="B142" s="9" t="s">
        <v>3882</v>
      </c>
      <c r="C142" s="10" t="s">
        <v>45</v>
      </c>
      <c r="D142" s="11">
        <v>42437.196527777778</v>
      </c>
      <c r="E142" s="12">
        <v>116</v>
      </c>
      <c r="F142" s="13" t="s">
        <v>69</v>
      </c>
    </row>
    <row r="143" spans="2:6" ht="17" thickBot="1" x14ac:dyDescent="0.2">
      <c r="B143" s="9" t="s">
        <v>3883</v>
      </c>
      <c r="C143" s="10" t="s">
        <v>45</v>
      </c>
      <c r="D143" s="11">
        <v>42437.196527777778</v>
      </c>
      <c r="E143" s="12">
        <v>334</v>
      </c>
      <c r="F143" s="13" t="s">
        <v>69</v>
      </c>
    </row>
    <row r="144" spans="2:6" ht="17" thickBot="1" x14ac:dyDescent="0.2">
      <c r="B144" s="9" t="s">
        <v>3884</v>
      </c>
      <c r="C144" s="10" t="s">
        <v>45</v>
      </c>
      <c r="D144" s="11">
        <v>42437.196527777778</v>
      </c>
      <c r="E144" s="12">
        <v>344</v>
      </c>
      <c r="F144" s="13" t="s">
        <v>69</v>
      </c>
    </row>
    <row r="145" spans="2:6" ht="17" thickBot="1" x14ac:dyDescent="0.2">
      <c r="B145" s="9" t="s">
        <v>3885</v>
      </c>
      <c r="C145" s="10" t="s">
        <v>45</v>
      </c>
      <c r="D145" s="11">
        <v>42437.195833333331</v>
      </c>
      <c r="E145" s="12">
        <v>940</v>
      </c>
      <c r="F145" s="13" t="s">
        <v>69</v>
      </c>
    </row>
    <row r="146" spans="2:6" ht="17" thickBot="1" x14ac:dyDescent="0.2">
      <c r="B146" s="9" t="s">
        <v>3886</v>
      </c>
      <c r="C146" s="10" t="s">
        <v>45</v>
      </c>
      <c r="D146" s="11">
        <v>42437.195138888892</v>
      </c>
      <c r="E146" s="12">
        <v>137</v>
      </c>
      <c r="F146" s="13" t="s">
        <v>69</v>
      </c>
    </row>
    <row r="147" spans="2:6" ht="17" thickBot="1" x14ac:dyDescent="0.2">
      <c r="B147" s="9" t="s">
        <v>3887</v>
      </c>
      <c r="C147" s="10" t="s">
        <v>45</v>
      </c>
      <c r="D147" s="11">
        <v>42437.195138888892</v>
      </c>
      <c r="E147" s="12">
        <v>242</v>
      </c>
      <c r="F147" s="13" t="s">
        <v>69</v>
      </c>
    </row>
    <row r="148" spans="2:6" ht="17" thickBot="1" x14ac:dyDescent="0.2">
      <c r="B148" s="9" t="s">
        <v>3888</v>
      </c>
      <c r="C148" s="10" t="s">
        <v>45</v>
      </c>
      <c r="D148" s="11">
        <v>42437.195138888892</v>
      </c>
      <c r="E148" s="12">
        <v>338</v>
      </c>
      <c r="F148" s="13" t="s">
        <v>69</v>
      </c>
    </row>
    <row r="149" spans="2:6" ht="17" thickBot="1" x14ac:dyDescent="0.2">
      <c r="B149" s="9" t="s">
        <v>3889</v>
      </c>
      <c r="C149" s="10" t="s">
        <v>45</v>
      </c>
      <c r="D149" s="11">
        <v>42437.195138888892</v>
      </c>
      <c r="E149" s="12">
        <v>157</v>
      </c>
      <c r="F149" s="13" t="s">
        <v>69</v>
      </c>
    </row>
    <row r="150" spans="2:6" ht="17" thickBot="1" x14ac:dyDescent="0.2">
      <c r="B150" s="9" t="s">
        <v>3890</v>
      </c>
      <c r="C150" s="10" t="s">
        <v>45</v>
      </c>
      <c r="D150" s="11">
        <v>42437.195138888892</v>
      </c>
      <c r="E150" s="12">
        <v>754</v>
      </c>
      <c r="F150" s="13" t="s">
        <v>69</v>
      </c>
    </row>
    <row r="151" spans="2:6" ht="17" thickBot="1" x14ac:dyDescent="0.2">
      <c r="B151" s="13" t="s">
        <v>3891</v>
      </c>
      <c r="C151" s="10" t="s">
        <v>45</v>
      </c>
      <c r="D151" s="11">
        <v>42437.189583333333</v>
      </c>
      <c r="E151" s="12">
        <v>248</v>
      </c>
      <c r="F151" s="13" t="s">
        <v>69</v>
      </c>
    </row>
    <row r="152" spans="2:6" ht="17" thickBot="1" x14ac:dyDescent="0.2">
      <c r="B152" s="13" t="s">
        <v>3892</v>
      </c>
      <c r="C152" s="10" t="s">
        <v>45</v>
      </c>
      <c r="D152" s="11">
        <v>42437.189583333333</v>
      </c>
      <c r="E152" s="12">
        <v>264</v>
      </c>
      <c r="F152" s="13" t="s">
        <v>69</v>
      </c>
    </row>
    <row r="153" spans="2:6" ht="17" thickBot="1" x14ac:dyDescent="0.2">
      <c r="B153" s="13" t="s">
        <v>3893</v>
      </c>
      <c r="C153" s="10" t="s">
        <v>45</v>
      </c>
      <c r="D153" s="11">
        <v>42437.169444444444</v>
      </c>
      <c r="E153" s="12">
        <v>111</v>
      </c>
      <c r="F153" s="13" t="s">
        <v>69</v>
      </c>
    </row>
    <row r="154" spans="2:6" ht="17" thickBot="1" x14ac:dyDescent="0.2">
      <c r="B154" s="13" t="s">
        <v>3894</v>
      </c>
      <c r="C154" s="10" t="s">
        <v>45</v>
      </c>
      <c r="D154" s="11">
        <v>42437.169444444444</v>
      </c>
      <c r="E154" s="12">
        <v>168</v>
      </c>
      <c r="F154" s="13" t="s">
        <v>69</v>
      </c>
    </row>
    <row r="155" spans="2:6" ht="17" thickBot="1" x14ac:dyDescent="0.2">
      <c r="B155" s="13" t="s">
        <v>3895</v>
      </c>
      <c r="C155" s="10" t="s">
        <v>45</v>
      </c>
      <c r="D155" s="11">
        <v>42437.169444444444</v>
      </c>
      <c r="E155" s="12">
        <v>126</v>
      </c>
      <c r="F155" s="13" t="s">
        <v>69</v>
      </c>
    </row>
    <row r="156" spans="2:6" ht="17" thickBot="1" x14ac:dyDescent="0.2">
      <c r="B156" s="13" t="s">
        <v>3896</v>
      </c>
      <c r="C156" s="10" t="s">
        <v>45</v>
      </c>
      <c r="D156" s="11">
        <v>42437.169444444444</v>
      </c>
      <c r="E156" s="12">
        <v>98</v>
      </c>
      <c r="F156" s="13" t="s">
        <v>69</v>
      </c>
    </row>
    <row r="157" spans="2:6" ht="17" thickBot="1" x14ac:dyDescent="0.2">
      <c r="B157" s="13" t="s">
        <v>3897</v>
      </c>
      <c r="C157" s="10" t="s">
        <v>45</v>
      </c>
      <c r="D157" s="11">
        <v>42437.169444444444</v>
      </c>
      <c r="E157" s="12">
        <v>337</v>
      </c>
      <c r="F157" s="13" t="s">
        <v>69</v>
      </c>
    </row>
    <row r="158" spans="2:6" ht="17" thickBot="1" x14ac:dyDescent="0.2">
      <c r="B158" s="13" t="s">
        <v>3898</v>
      </c>
      <c r="C158" s="10" t="s">
        <v>45</v>
      </c>
      <c r="D158" s="11">
        <v>42437.169444444444</v>
      </c>
      <c r="E158" s="12">
        <v>192</v>
      </c>
      <c r="F158" s="13" t="s">
        <v>69</v>
      </c>
    </row>
    <row r="159" spans="2:6" ht="17" thickBot="1" x14ac:dyDescent="0.2">
      <c r="B159" s="13" t="s">
        <v>3899</v>
      </c>
      <c r="C159" s="10" t="s">
        <v>45</v>
      </c>
      <c r="D159" s="11">
        <v>42437.169444444444</v>
      </c>
      <c r="E159" s="12">
        <v>147</v>
      </c>
      <c r="F159" s="13" t="s">
        <v>69</v>
      </c>
    </row>
    <row r="160" spans="2:6" ht="17" thickBot="1" x14ac:dyDescent="0.2">
      <c r="B160" s="13" t="s">
        <v>3900</v>
      </c>
      <c r="C160" s="10" t="s">
        <v>45</v>
      </c>
      <c r="D160" s="11">
        <v>42437.169444444444</v>
      </c>
      <c r="E160" s="12">
        <v>1451</v>
      </c>
      <c r="F160" s="13" t="s">
        <v>69</v>
      </c>
    </row>
    <row r="161" spans="2:6" ht="17" thickBot="1" x14ac:dyDescent="0.2">
      <c r="B161" s="13" t="s">
        <v>3901</v>
      </c>
      <c r="C161" s="10" t="s">
        <v>45</v>
      </c>
      <c r="D161" s="11">
        <v>42437.157638888886</v>
      </c>
      <c r="E161" s="12">
        <v>304</v>
      </c>
      <c r="F161" s="13" t="s">
        <v>69</v>
      </c>
    </row>
    <row r="162" spans="2:6" ht="17" thickBot="1" x14ac:dyDescent="0.2">
      <c r="B162" s="13" t="s">
        <v>3902</v>
      </c>
      <c r="C162" s="10" t="s">
        <v>45</v>
      </c>
      <c r="D162" s="11">
        <v>42437.157638888886</v>
      </c>
      <c r="E162" s="12">
        <v>856</v>
      </c>
      <c r="F162" s="13" t="s">
        <v>69</v>
      </c>
    </row>
    <row r="163" spans="2:6" ht="17" thickBot="1" x14ac:dyDescent="0.2">
      <c r="B163" s="13" t="s">
        <v>3903</v>
      </c>
      <c r="C163" s="10" t="s">
        <v>45</v>
      </c>
      <c r="D163" s="11">
        <v>42437.157638888886</v>
      </c>
      <c r="E163" s="12">
        <v>161</v>
      </c>
      <c r="F163" s="13" t="s">
        <v>69</v>
      </c>
    </row>
    <row r="164" spans="2:6" ht="17" thickBot="1" x14ac:dyDescent="0.2">
      <c r="B164" s="13" t="s">
        <v>3904</v>
      </c>
      <c r="C164" s="10" t="s">
        <v>45</v>
      </c>
      <c r="D164" s="11">
        <v>42437.157638888886</v>
      </c>
      <c r="E164" s="12">
        <v>201</v>
      </c>
      <c r="F164" s="13" t="s">
        <v>69</v>
      </c>
    </row>
    <row r="165" spans="2:6" ht="17" thickBot="1" x14ac:dyDescent="0.2">
      <c r="B165" s="13" t="s">
        <v>3905</v>
      </c>
      <c r="C165" s="10" t="s">
        <v>45</v>
      </c>
      <c r="D165" s="11">
        <v>42437.157638888886</v>
      </c>
      <c r="E165" s="12">
        <v>847</v>
      </c>
      <c r="F165" s="13" t="s">
        <v>69</v>
      </c>
    </row>
    <row r="166" spans="2:6" ht="17" thickBot="1" x14ac:dyDescent="0.2">
      <c r="B166" s="13" t="s">
        <v>3906</v>
      </c>
      <c r="C166" s="10" t="s">
        <v>45</v>
      </c>
      <c r="D166" s="11">
        <v>42437.157638888886</v>
      </c>
      <c r="E166" s="12">
        <v>1272</v>
      </c>
      <c r="F166" s="13" t="s">
        <v>69</v>
      </c>
    </row>
    <row r="167" spans="2:6" ht="17" thickBot="1" x14ac:dyDescent="0.2">
      <c r="B167" s="13" t="s">
        <v>3907</v>
      </c>
      <c r="C167" s="10" t="s">
        <v>45</v>
      </c>
      <c r="D167" s="11">
        <v>42437.155555555553</v>
      </c>
      <c r="E167" s="12">
        <v>1179</v>
      </c>
      <c r="F167" s="13" t="s">
        <v>69</v>
      </c>
    </row>
    <row r="168" spans="2:6" ht="17" thickBot="1" x14ac:dyDescent="0.2">
      <c r="B168" s="13" t="s">
        <v>3908</v>
      </c>
      <c r="C168" s="10" t="s">
        <v>45</v>
      </c>
      <c r="D168" s="11">
        <v>42437.147222222222</v>
      </c>
      <c r="E168" s="12">
        <v>615</v>
      </c>
      <c r="F168" s="13" t="s">
        <v>69</v>
      </c>
    </row>
    <row r="169" spans="2:6" ht="17" thickBot="1" x14ac:dyDescent="0.2">
      <c r="B169" s="13" t="s">
        <v>3909</v>
      </c>
      <c r="C169" s="10" t="s">
        <v>45</v>
      </c>
      <c r="D169" s="11">
        <v>42437.147222222222</v>
      </c>
      <c r="E169" s="12">
        <v>4693</v>
      </c>
      <c r="F169" s="13" t="s">
        <v>69</v>
      </c>
    </row>
    <row r="170" spans="2:6" ht="17" thickBot="1" x14ac:dyDescent="0.2">
      <c r="B170" s="13" t="s">
        <v>3910</v>
      </c>
      <c r="C170" s="10" t="s">
        <v>45</v>
      </c>
      <c r="D170" s="11">
        <v>42437.147222222222</v>
      </c>
      <c r="E170" s="12">
        <v>608</v>
      </c>
      <c r="F170" s="13" t="s">
        <v>69</v>
      </c>
    </row>
    <row r="171" spans="2:6" ht="17" thickBot="1" x14ac:dyDescent="0.2">
      <c r="B171" s="13" t="s">
        <v>3911</v>
      </c>
      <c r="C171" s="10" t="s">
        <v>45</v>
      </c>
      <c r="D171" s="11">
        <v>42437.147222222222</v>
      </c>
      <c r="E171" s="12">
        <v>1070</v>
      </c>
      <c r="F171" s="13" t="s">
        <v>69</v>
      </c>
    </row>
    <row r="172" spans="2:6" ht="17" thickBot="1" x14ac:dyDescent="0.2">
      <c r="B172" s="13" t="s">
        <v>3912</v>
      </c>
      <c r="C172" s="10" t="s">
        <v>45</v>
      </c>
      <c r="D172" s="11">
        <v>42437.140277777777</v>
      </c>
      <c r="E172" s="12">
        <v>637</v>
      </c>
      <c r="F172" s="13" t="s">
        <v>69</v>
      </c>
    </row>
    <row r="173" spans="2:6" ht="17" thickBot="1" x14ac:dyDescent="0.2">
      <c r="B173" s="13" t="s">
        <v>3913</v>
      </c>
      <c r="C173" s="10" t="s">
        <v>45</v>
      </c>
      <c r="D173" s="11">
        <v>42437.140277777777</v>
      </c>
      <c r="E173" s="12">
        <v>276</v>
      </c>
      <c r="F173" s="13" t="s">
        <v>69</v>
      </c>
    </row>
    <row r="174" spans="2:6" ht="17" thickBot="1" x14ac:dyDescent="0.2">
      <c r="B174" s="13" t="s">
        <v>3914</v>
      </c>
      <c r="C174" s="10" t="s">
        <v>45</v>
      </c>
      <c r="D174" s="11">
        <v>42437.140277777777</v>
      </c>
      <c r="E174" s="12">
        <v>1066</v>
      </c>
      <c r="F174" s="13" t="s">
        <v>69</v>
      </c>
    </row>
    <row r="175" spans="2:6" ht="17" thickBot="1" x14ac:dyDescent="0.2">
      <c r="B175" s="13" t="s">
        <v>3915</v>
      </c>
      <c r="C175" s="10" t="s">
        <v>45</v>
      </c>
      <c r="D175" s="11">
        <v>42437.136111111111</v>
      </c>
      <c r="E175" s="12">
        <v>1360</v>
      </c>
      <c r="F175" s="13" t="s">
        <v>69</v>
      </c>
    </row>
    <row r="176" spans="2:6" ht="17" thickBot="1" x14ac:dyDescent="0.2">
      <c r="B176" s="13" t="s">
        <v>3916</v>
      </c>
      <c r="C176" s="10" t="s">
        <v>45</v>
      </c>
      <c r="D176" s="11">
        <v>42437.136111111111</v>
      </c>
      <c r="E176" s="12">
        <v>517</v>
      </c>
      <c r="F176" s="13" t="s">
        <v>69</v>
      </c>
    </row>
    <row r="177" spans="2:6" ht="17" thickBot="1" x14ac:dyDescent="0.2">
      <c r="B177" s="13" t="s">
        <v>3917</v>
      </c>
      <c r="C177" s="10" t="s">
        <v>45</v>
      </c>
      <c r="D177" s="11">
        <v>42437.136111111111</v>
      </c>
      <c r="E177" s="12">
        <v>578</v>
      </c>
      <c r="F177" s="13" t="s">
        <v>69</v>
      </c>
    </row>
    <row r="178" spans="2:6" ht="17" thickBot="1" x14ac:dyDescent="0.2">
      <c r="B178" s="13" t="s">
        <v>3918</v>
      </c>
      <c r="C178" s="10" t="s">
        <v>45</v>
      </c>
      <c r="D178" s="11">
        <v>42437.136111111111</v>
      </c>
      <c r="E178" s="12">
        <v>1236</v>
      </c>
      <c r="F178" s="13" t="s">
        <v>69</v>
      </c>
    </row>
    <row r="179" spans="2:6" ht="17" thickBot="1" x14ac:dyDescent="0.2">
      <c r="B179" s="13" t="s">
        <v>3919</v>
      </c>
      <c r="C179" s="10" t="s">
        <v>45</v>
      </c>
      <c r="D179" s="11">
        <v>42437.125</v>
      </c>
      <c r="E179" s="12">
        <v>225</v>
      </c>
      <c r="F179" s="13" t="s">
        <v>69</v>
      </c>
    </row>
    <row r="180" spans="2:6" ht="17" thickBot="1" x14ac:dyDescent="0.2">
      <c r="B180" s="13" t="s">
        <v>3920</v>
      </c>
      <c r="C180" s="10" t="s">
        <v>45</v>
      </c>
      <c r="D180" s="11">
        <v>42437.125</v>
      </c>
      <c r="E180" s="12">
        <v>236</v>
      </c>
      <c r="F180" s="13" t="s">
        <v>69</v>
      </c>
    </row>
    <row r="181" spans="2:6" ht="17" thickBot="1" x14ac:dyDescent="0.2">
      <c r="B181" s="13" t="s">
        <v>3921</v>
      </c>
      <c r="C181" s="10" t="s">
        <v>45</v>
      </c>
      <c r="D181" s="11">
        <v>42437.125</v>
      </c>
      <c r="E181" s="12">
        <v>334</v>
      </c>
      <c r="F181" s="13" t="s">
        <v>69</v>
      </c>
    </row>
    <row r="182" spans="2:6" ht="17" thickBot="1" x14ac:dyDescent="0.2">
      <c r="B182" s="13" t="s">
        <v>3922</v>
      </c>
      <c r="C182" s="10" t="s">
        <v>45</v>
      </c>
      <c r="D182" s="11">
        <v>42437.125</v>
      </c>
      <c r="E182" s="12">
        <v>757</v>
      </c>
      <c r="F182" s="13" t="s">
        <v>69</v>
      </c>
    </row>
    <row r="183" spans="2:6" ht="17" thickBot="1" x14ac:dyDescent="0.2">
      <c r="B183" s="13" t="s">
        <v>3923</v>
      </c>
      <c r="C183" s="10" t="s">
        <v>45</v>
      </c>
      <c r="D183" s="11">
        <v>42437.121527777781</v>
      </c>
      <c r="E183" s="12">
        <v>466</v>
      </c>
      <c r="F183" s="13" t="s">
        <v>69</v>
      </c>
    </row>
    <row r="184" spans="2:6" ht="17" thickBot="1" x14ac:dyDescent="0.2">
      <c r="B184" s="13" t="s">
        <v>3924</v>
      </c>
      <c r="C184" s="10" t="s">
        <v>45</v>
      </c>
      <c r="D184" s="11">
        <v>42437.121527777781</v>
      </c>
      <c r="E184" s="12">
        <v>2440</v>
      </c>
      <c r="F184" s="13" t="s">
        <v>69</v>
      </c>
    </row>
    <row r="185" spans="2:6" ht="17" thickBot="1" x14ac:dyDescent="0.2">
      <c r="B185" s="13" t="s">
        <v>3925</v>
      </c>
      <c r="C185" s="10" t="s">
        <v>45</v>
      </c>
      <c r="D185" s="11">
        <v>42437.120833333334</v>
      </c>
      <c r="E185" s="12">
        <v>774</v>
      </c>
      <c r="F185" s="13" t="s">
        <v>69</v>
      </c>
    </row>
    <row r="186" spans="2:6" ht="17" thickBot="1" x14ac:dyDescent="0.2">
      <c r="B186" s="13" t="s">
        <v>3926</v>
      </c>
      <c r="C186" s="10" t="s">
        <v>45</v>
      </c>
      <c r="D186" s="11">
        <v>42437.120833333334</v>
      </c>
      <c r="E186" s="12">
        <v>2705</v>
      </c>
      <c r="F186" s="13" t="s">
        <v>69</v>
      </c>
    </row>
    <row r="187" spans="2:6" ht="17" thickBot="1" x14ac:dyDescent="0.2">
      <c r="B187" s="13" t="s">
        <v>3927</v>
      </c>
      <c r="C187" s="10" t="s">
        <v>45</v>
      </c>
      <c r="D187" s="11">
        <v>42436.672222222223</v>
      </c>
      <c r="E187" s="12">
        <v>1427</v>
      </c>
      <c r="F187" s="13" t="s">
        <v>69</v>
      </c>
    </row>
    <row r="188" spans="2:6" ht="17" thickBot="1" x14ac:dyDescent="0.2">
      <c r="B188" s="13" t="s">
        <v>3928</v>
      </c>
      <c r="C188" s="10" t="s">
        <v>45</v>
      </c>
      <c r="D188" s="11">
        <v>42436.671527777777</v>
      </c>
      <c r="E188" s="12">
        <v>1247</v>
      </c>
      <c r="F188" s="13" t="s">
        <v>69</v>
      </c>
    </row>
    <row r="189" spans="2:6" ht="17" thickBot="1" x14ac:dyDescent="0.2">
      <c r="B189" s="13" t="s">
        <v>3929</v>
      </c>
      <c r="C189" s="10" t="s">
        <v>45</v>
      </c>
      <c r="D189" s="11">
        <v>42436.670138888891</v>
      </c>
      <c r="E189" s="12">
        <v>2440</v>
      </c>
      <c r="F189" s="13" t="s">
        <v>69</v>
      </c>
    </row>
    <row r="190" spans="2:6" ht="16" x14ac:dyDescent="0.15">
      <c r="B190" s="13" t="s">
        <v>3930</v>
      </c>
      <c r="C190" s="10" t="s">
        <v>45</v>
      </c>
      <c r="D190" s="11">
        <v>42436.613888888889</v>
      </c>
      <c r="E190" s="12">
        <v>367</v>
      </c>
      <c r="F190" s="13" t="s">
        <v>69</v>
      </c>
    </row>
    <row r="191" spans="2:6" ht="16" hidden="1" thickBot="1" x14ac:dyDescent="0.2">
      <c r="B191" s="48" t="s">
        <v>3445</v>
      </c>
    </row>
    <row r="192" spans="2:6" hidden="1" x14ac:dyDescent="0.15">
      <c r="B192" s="42" t="s">
        <v>70</v>
      </c>
    </row>
    <row r="193" spans="2:2" hidden="1" x14ac:dyDescent="0.15">
      <c r="B193" s="4" t="s">
        <v>71</v>
      </c>
    </row>
    <row r="194" spans="2:2" hidden="1" x14ac:dyDescent="0.15">
      <c r="B194" s="4" t="s">
        <v>72</v>
      </c>
    </row>
    <row r="195" spans="2:2" hidden="1" x14ac:dyDescent="0.15">
      <c r="B195" s="4" t="s">
        <v>73</v>
      </c>
    </row>
    <row r="196" spans="2:2" hidden="1" x14ac:dyDescent="0.15">
      <c r="B196" s="43" t="s">
        <v>74</v>
      </c>
    </row>
    <row r="197" spans="2:2" hidden="1" x14ac:dyDescent="0.15">
      <c r="B197" s="44" t="s">
        <v>75</v>
      </c>
    </row>
    <row r="198" spans="2:2" hidden="1" x14ac:dyDescent="0.15">
      <c r="B198" s="14" t="s">
        <v>40</v>
      </c>
    </row>
    <row r="199" spans="2:2" hidden="1" x14ac:dyDescent="0.15">
      <c r="B199" s="14" t="s">
        <v>2</v>
      </c>
    </row>
    <row r="200" spans="2:2" hidden="1" x14ac:dyDescent="0.15">
      <c r="B200" s="14" t="s">
        <v>44</v>
      </c>
    </row>
    <row r="201" spans="2:2" hidden="1" x14ac:dyDescent="0.15">
      <c r="B201" s="14" t="s">
        <v>50</v>
      </c>
    </row>
    <row r="202" spans="2:2" hidden="1" x14ac:dyDescent="0.15">
      <c r="B202" s="14" t="s">
        <v>51</v>
      </c>
    </row>
    <row r="203" spans="2:2" hidden="1" x14ac:dyDescent="0.15">
      <c r="B203" s="14" t="s">
        <v>43</v>
      </c>
    </row>
    <row r="204" spans="2:2" hidden="1" x14ac:dyDescent="0.15">
      <c r="B204" s="14" t="s">
        <v>49</v>
      </c>
    </row>
    <row r="205" spans="2:2" hidden="1" x14ac:dyDescent="0.15">
      <c r="B205" s="14" t="s">
        <v>45</v>
      </c>
    </row>
    <row r="206" spans="2:2" hidden="1" x14ac:dyDescent="0.15">
      <c r="B206" s="14" t="s">
        <v>46</v>
      </c>
    </row>
    <row r="207" spans="2:2" hidden="1" x14ac:dyDescent="0.15">
      <c r="B207" s="14" t="s">
        <v>42</v>
      </c>
    </row>
    <row r="208" spans="2:2" hidden="1" x14ac:dyDescent="0.15">
      <c r="B208" s="14" t="s">
        <v>52</v>
      </c>
    </row>
    <row r="209" spans="2:2" hidden="1" x14ac:dyDescent="0.15">
      <c r="B209" s="14" t="s">
        <v>41</v>
      </c>
    </row>
    <row r="210" spans="2:2" hidden="1" x14ac:dyDescent="0.15">
      <c r="B210" s="14" t="s">
        <v>47</v>
      </c>
    </row>
    <row r="211" spans="2:2" hidden="1" x14ac:dyDescent="0.15">
      <c r="B211" s="14" t="s">
        <v>48</v>
      </c>
    </row>
    <row r="212" spans="2:2" hidden="1" x14ac:dyDescent="0.15">
      <c r="B212" s="14" t="s">
        <v>53</v>
      </c>
    </row>
    <row r="213" spans="2:2" hidden="1" x14ac:dyDescent="0.15">
      <c r="B213" s="14" t="s">
        <v>54</v>
      </c>
    </row>
    <row r="214" spans="2:2" hidden="1" x14ac:dyDescent="0.15">
      <c r="B214" s="14" t="s">
        <v>55</v>
      </c>
    </row>
    <row r="215" spans="2:2" hidden="1" x14ac:dyDescent="0.15">
      <c r="B215" s="14" t="s">
        <v>76</v>
      </c>
    </row>
    <row r="216" spans="2:2" hidden="1" x14ac:dyDescent="0.15">
      <c r="B216" s="44" t="s">
        <v>49</v>
      </c>
    </row>
    <row r="217" spans="2:2" hidden="1" x14ac:dyDescent="0.15">
      <c r="B217" s="14" t="s">
        <v>77</v>
      </c>
    </row>
    <row r="218" spans="2:2" hidden="1" x14ac:dyDescent="0.15">
      <c r="B218" s="14" t="s">
        <v>17</v>
      </c>
    </row>
    <row r="219" spans="2:2" hidden="1" x14ac:dyDescent="0.15">
      <c r="B219" s="14" t="s">
        <v>78</v>
      </c>
    </row>
    <row r="220" spans="2:2" hidden="1" x14ac:dyDescent="0.15">
      <c r="B220" s="44" t="s">
        <v>79</v>
      </c>
    </row>
    <row r="221" spans="2:2" hidden="1" x14ac:dyDescent="0.15">
      <c r="B221" s="14" t="s">
        <v>80</v>
      </c>
    </row>
    <row r="222" spans="2:2" hidden="1" x14ac:dyDescent="0.15">
      <c r="B222" s="14" t="s">
        <v>57</v>
      </c>
    </row>
    <row r="223" spans="2:2" hidden="1" x14ac:dyDescent="0.15">
      <c r="B223" s="14" t="s">
        <v>81</v>
      </c>
    </row>
    <row r="224" spans="2:2" hidden="1" x14ac:dyDescent="0.15">
      <c r="B224" s="44" t="s">
        <v>82</v>
      </c>
    </row>
    <row r="225" spans="2:2" hidden="1" x14ac:dyDescent="0.15">
      <c r="B225" s="14" t="s">
        <v>83</v>
      </c>
    </row>
    <row r="226" spans="2:2" hidden="1" x14ac:dyDescent="0.15">
      <c r="B226" s="14" t="s">
        <v>84</v>
      </c>
    </row>
    <row r="227" spans="2:2" hidden="1" x14ac:dyDescent="0.15">
      <c r="B227" s="14" t="s">
        <v>85</v>
      </c>
    </row>
    <row r="228" spans="2:2" hidden="1" x14ac:dyDescent="0.15">
      <c r="B228" s="14" t="s">
        <v>86</v>
      </c>
    </row>
    <row r="229" spans="2:2" hidden="1" x14ac:dyDescent="0.15">
      <c r="B229" s="14" t="s">
        <v>87</v>
      </c>
    </row>
    <row r="230" spans="2:2" hidden="1" x14ac:dyDescent="0.15">
      <c r="B230" s="14" t="s">
        <v>88</v>
      </c>
    </row>
    <row r="231" spans="2:2" hidden="1" x14ac:dyDescent="0.15">
      <c r="B231" s="44" t="s">
        <v>89</v>
      </c>
    </row>
    <row r="232" spans="2:2" hidden="1" x14ac:dyDescent="0.15">
      <c r="B232" s="14" t="s">
        <v>46</v>
      </c>
    </row>
    <row r="233" spans="2:2" hidden="1" x14ac:dyDescent="0.15">
      <c r="B233" s="14" t="s">
        <v>90</v>
      </c>
    </row>
    <row r="234" spans="2:2" hidden="1" x14ac:dyDescent="0.15">
      <c r="B234" s="14" t="s">
        <v>19</v>
      </c>
    </row>
    <row r="235" spans="2:2" hidden="1" x14ac:dyDescent="0.15">
      <c r="B235" s="14" t="s">
        <v>20</v>
      </c>
    </row>
    <row r="236" spans="2:2" hidden="1" x14ac:dyDescent="0.15">
      <c r="B236" s="14" t="s">
        <v>91</v>
      </c>
    </row>
    <row r="237" spans="2:2" hidden="1" x14ac:dyDescent="0.15">
      <c r="B237" s="14" t="s">
        <v>92</v>
      </c>
    </row>
    <row r="238" spans="2:2" hidden="1" x14ac:dyDescent="0.15">
      <c r="B238" s="14" t="s">
        <v>28</v>
      </c>
    </row>
    <row r="239" spans="2:2" hidden="1" x14ac:dyDescent="0.15">
      <c r="B239" s="44" t="s">
        <v>39</v>
      </c>
    </row>
    <row r="240" spans="2:2" hidden="1" x14ac:dyDescent="0.15">
      <c r="B240" s="14" t="s">
        <v>93</v>
      </c>
    </row>
    <row r="241" spans="2:2" hidden="1" x14ac:dyDescent="0.15">
      <c r="B241" s="14" t="s">
        <v>94</v>
      </c>
    </row>
    <row r="242" spans="2:2" hidden="1" x14ac:dyDescent="0.15">
      <c r="B242" s="14" t="s">
        <v>36</v>
      </c>
    </row>
    <row r="243" spans="2:2" hidden="1" x14ac:dyDescent="0.15">
      <c r="B243" s="14" t="s">
        <v>95</v>
      </c>
    </row>
    <row r="244" spans="2:2" hidden="1" x14ac:dyDescent="0.15">
      <c r="B244" s="14" t="s">
        <v>96</v>
      </c>
    </row>
    <row r="245" spans="2:2" hidden="1" x14ac:dyDescent="0.15">
      <c r="B245" s="14" t="s">
        <v>97</v>
      </c>
    </row>
    <row r="246" spans="2:2" hidden="1" x14ac:dyDescent="0.15">
      <c r="B246" s="14" t="s">
        <v>98</v>
      </c>
    </row>
    <row r="247" spans="2:2" hidden="1" x14ac:dyDescent="0.15">
      <c r="B247" s="14" t="s">
        <v>99</v>
      </c>
    </row>
    <row r="248" spans="2:2" hidden="1" x14ac:dyDescent="0.15">
      <c r="B248" s="44" t="s">
        <v>14</v>
      </c>
    </row>
    <row r="249" spans="2:2" hidden="1" x14ac:dyDescent="0.15">
      <c r="B249" s="14" t="s">
        <v>100</v>
      </c>
    </row>
    <row r="250" spans="2:2" hidden="1" x14ac:dyDescent="0.15">
      <c r="B250" s="14" t="s">
        <v>101</v>
      </c>
    </row>
    <row r="251" spans="2:2" hidden="1" x14ac:dyDescent="0.15">
      <c r="B251" s="14" t="s">
        <v>102</v>
      </c>
    </row>
    <row r="252" spans="2:2" hidden="1" x14ac:dyDescent="0.15">
      <c r="B252" s="14" t="s">
        <v>103</v>
      </c>
    </row>
    <row r="253" spans="2:2" hidden="1" x14ac:dyDescent="0.15">
      <c r="B253" s="14" t="s">
        <v>104</v>
      </c>
    </row>
    <row r="254" spans="2:2" hidden="1" x14ac:dyDescent="0.15">
      <c r="B254" s="14" t="s">
        <v>105</v>
      </c>
    </row>
    <row r="255" spans="2:2" hidden="1" x14ac:dyDescent="0.15">
      <c r="B255" s="44" t="s">
        <v>106</v>
      </c>
    </row>
    <row r="256" spans="2:2" hidden="1" x14ac:dyDescent="0.15">
      <c r="B256" s="14" t="s">
        <v>107</v>
      </c>
    </row>
    <row r="257" spans="2:2" hidden="1" x14ac:dyDescent="0.15">
      <c r="B257" s="14" t="s">
        <v>108</v>
      </c>
    </row>
    <row r="258" spans="2:2" hidden="1" x14ac:dyDescent="0.15">
      <c r="B258" s="14" t="s">
        <v>109</v>
      </c>
    </row>
    <row r="259" spans="2:2" hidden="1" x14ac:dyDescent="0.15">
      <c r="B259" s="14" t="s">
        <v>110</v>
      </c>
    </row>
    <row r="260" spans="2:2" hidden="1" x14ac:dyDescent="0.15">
      <c r="B260" s="14" t="s">
        <v>111</v>
      </c>
    </row>
    <row r="261" spans="2:2" hidden="1" x14ac:dyDescent="0.15">
      <c r="B261" s="44" t="s">
        <v>112</v>
      </c>
    </row>
    <row r="262" spans="2:2" hidden="1" x14ac:dyDescent="0.15">
      <c r="B262" s="14" t="s">
        <v>113</v>
      </c>
    </row>
    <row r="263" spans="2:2" hidden="1" x14ac:dyDescent="0.15">
      <c r="B263" s="14" t="s">
        <v>114</v>
      </c>
    </row>
    <row r="264" spans="2:2" hidden="1" x14ac:dyDescent="0.15">
      <c r="B264" s="14" t="s">
        <v>115</v>
      </c>
    </row>
    <row r="265" spans="2:2" hidden="1" x14ac:dyDescent="0.15">
      <c r="B265" s="14" t="s">
        <v>116</v>
      </c>
    </row>
    <row r="266" spans="2:2" hidden="1" x14ac:dyDescent="0.15">
      <c r="B266" s="14" t="s">
        <v>117</v>
      </c>
    </row>
    <row r="267" spans="2:2" hidden="1" x14ac:dyDescent="0.15">
      <c r="B267" s="14" t="s">
        <v>118</v>
      </c>
    </row>
    <row r="268" spans="2:2" hidden="1" x14ac:dyDescent="0.15">
      <c r="B268" s="44" t="s">
        <v>119</v>
      </c>
    </row>
    <row r="269" spans="2:2" hidden="1" x14ac:dyDescent="0.15">
      <c r="B269" s="14" t="s">
        <v>120</v>
      </c>
    </row>
    <row r="270" spans="2:2" hidden="1" x14ac:dyDescent="0.15">
      <c r="B270" s="14" t="s">
        <v>121</v>
      </c>
    </row>
    <row r="271" spans="2:2" hidden="1" x14ac:dyDescent="0.15">
      <c r="B271" s="14" t="s">
        <v>122</v>
      </c>
    </row>
    <row r="272" spans="2:2" hidden="1" x14ac:dyDescent="0.15">
      <c r="B272" s="14" t="s">
        <v>30</v>
      </c>
    </row>
    <row r="273" spans="2:2" hidden="1" x14ac:dyDescent="0.15">
      <c r="B273" s="44" t="s">
        <v>123</v>
      </c>
    </row>
    <row r="274" spans="2:2" hidden="1" x14ac:dyDescent="0.15">
      <c r="B274" s="14" t="s">
        <v>34</v>
      </c>
    </row>
    <row r="275" spans="2:2" hidden="1" x14ac:dyDescent="0.15">
      <c r="B275" s="14" t="s">
        <v>124</v>
      </c>
    </row>
    <row r="276" spans="2:2" hidden="1" x14ac:dyDescent="0.15">
      <c r="B276" s="14" t="s">
        <v>125</v>
      </c>
    </row>
    <row r="277" spans="2:2" hidden="1" x14ac:dyDescent="0.15">
      <c r="B277" s="14" t="s">
        <v>126</v>
      </c>
    </row>
    <row r="278" spans="2:2" hidden="1" x14ac:dyDescent="0.15">
      <c r="B278" s="44" t="s">
        <v>33</v>
      </c>
    </row>
    <row r="279" spans="2:2" hidden="1" x14ac:dyDescent="0.15">
      <c r="B279" s="14" t="s">
        <v>127</v>
      </c>
    </row>
    <row r="280" spans="2:2" hidden="1" x14ac:dyDescent="0.15">
      <c r="B280" s="14" t="s">
        <v>128</v>
      </c>
    </row>
    <row r="281" spans="2:2" hidden="1" x14ac:dyDescent="0.15">
      <c r="B281" s="14" t="s">
        <v>129</v>
      </c>
    </row>
    <row r="282" spans="2:2" hidden="1" x14ac:dyDescent="0.15">
      <c r="B282" s="14" t="s">
        <v>130</v>
      </c>
    </row>
    <row r="283" spans="2:2" hidden="1" x14ac:dyDescent="0.15">
      <c r="B283" s="14" t="s">
        <v>131</v>
      </c>
    </row>
    <row r="284" spans="2:2" hidden="1" x14ac:dyDescent="0.15">
      <c r="B284" s="44" t="s">
        <v>132</v>
      </c>
    </row>
    <row r="285" spans="2:2" hidden="1" x14ac:dyDescent="0.15">
      <c r="B285" s="14" t="s">
        <v>3441</v>
      </c>
    </row>
    <row r="286" spans="2:2" hidden="1" x14ac:dyDescent="0.15">
      <c r="B286" s="14" t="s">
        <v>133</v>
      </c>
    </row>
    <row r="287" spans="2:2" hidden="1" x14ac:dyDescent="0.15">
      <c r="B287" s="14" t="s">
        <v>134</v>
      </c>
    </row>
    <row r="288" spans="2:2" hidden="1" x14ac:dyDescent="0.15">
      <c r="B288" s="14" t="s">
        <v>135</v>
      </c>
    </row>
    <row r="289" spans="2:2" hidden="1" x14ac:dyDescent="0.15">
      <c r="B289" s="14" t="s">
        <v>37</v>
      </c>
    </row>
    <row r="290" spans="2:2" hidden="1" x14ac:dyDescent="0.15">
      <c r="B290" s="45" t="s">
        <v>136</v>
      </c>
    </row>
    <row r="291" spans="2:2" hidden="1" x14ac:dyDescent="0.15">
      <c r="B291" s="46" t="s">
        <v>137</v>
      </c>
    </row>
    <row r="292" spans="2:2" hidden="1" x14ac:dyDescent="0.15">
      <c r="B292" s="4" t="s">
        <v>10</v>
      </c>
    </row>
    <row r="293" spans="2:2" hidden="1" x14ac:dyDescent="0.15">
      <c r="B293" s="2" t="s">
        <v>138</v>
      </c>
    </row>
    <row r="294" spans="2:2" hidden="1" x14ac:dyDescent="0.15">
      <c r="B294" s="2" t="s">
        <v>139</v>
      </c>
    </row>
    <row r="295" spans="2:2" hidden="1" x14ac:dyDescent="0.15">
      <c r="B295" s="2" t="s">
        <v>15</v>
      </c>
    </row>
    <row r="296" spans="2:2" hidden="1" x14ac:dyDescent="0.15">
      <c r="B296" s="2" t="s">
        <v>39</v>
      </c>
    </row>
    <row r="297" spans="2:2" hidden="1" x14ac:dyDescent="0.15">
      <c r="B297" s="2" t="s">
        <v>140</v>
      </c>
    </row>
    <row r="298" spans="2:2" hidden="1" x14ac:dyDescent="0.15">
      <c r="B298" s="2" t="s">
        <v>141</v>
      </c>
    </row>
    <row r="299" spans="2:2" hidden="1" x14ac:dyDescent="0.15">
      <c r="B299" s="2" t="s">
        <v>142</v>
      </c>
    </row>
    <row r="300" spans="2:2" hidden="1" x14ac:dyDescent="0.15">
      <c r="B300" s="2" t="s">
        <v>143</v>
      </c>
    </row>
    <row r="301" spans="2:2" hidden="1" x14ac:dyDescent="0.15">
      <c r="B301" s="2" t="s">
        <v>17</v>
      </c>
    </row>
    <row r="302" spans="2:2" hidden="1" x14ac:dyDescent="0.15">
      <c r="B302" s="2" t="s">
        <v>77</v>
      </c>
    </row>
    <row r="303" spans="2:2" hidden="1" x14ac:dyDescent="0.15">
      <c r="B303" s="2" t="s">
        <v>144</v>
      </c>
    </row>
    <row r="304" spans="2:2" hidden="1" x14ac:dyDescent="0.15">
      <c r="B304" s="2" t="s">
        <v>145</v>
      </c>
    </row>
    <row r="305" spans="2:2" hidden="1" x14ac:dyDescent="0.15">
      <c r="B305" s="2" t="s">
        <v>146</v>
      </c>
    </row>
    <row r="306" spans="2:2" hidden="1" x14ac:dyDescent="0.15">
      <c r="B306" s="2" t="s">
        <v>147</v>
      </c>
    </row>
    <row r="307" spans="2:2" hidden="1" x14ac:dyDescent="0.15">
      <c r="B307" s="2" t="s">
        <v>148</v>
      </c>
    </row>
    <row r="308" spans="2:2" hidden="1" x14ac:dyDescent="0.15">
      <c r="B308" s="2" t="s">
        <v>19</v>
      </c>
    </row>
    <row r="309" spans="2:2" hidden="1" x14ac:dyDescent="0.15">
      <c r="B309" s="2" t="s">
        <v>149</v>
      </c>
    </row>
    <row r="310" spans="2:2" hidden="1" x14ac:dyDescent="0.15">
      <c r="B310" s="2" t="s">
        <v>150</v>
      </c>
    </row>
    <row r="311" spans="2:2" hidden="1" x14ac:dyDescent="0.15">
      <c r="B311" s="2" t="s">
        <v>151</v>
      </c>
    </row>
    <row r="312" spans="2:2" hidden="1" x14ac:dyDescent="0.15">
      <c r="B312" s="2" t="s">
        <v>152</v>
      </c>
    </row>
    <row r="313" spans="2:2" hidden="1" x14ac:dyDescent="0.15">
      <c r="B313" s="2" t="s">
        <v>153</v>
      </c>
    </row>
    <row r="314" spans="2:2" hidden="1" x14ac:dyDescent="0.15">
      <c r="B314" s="2" t="s">
        <v>154</v>
      </c>
    </row>
  </sheetData>
  <autoFilter ref="B1:F314">
    <filterColumn colId="1">
      <filters>
        <filter val="產經"/>
      </filters>
    </filterColumn>
  </autoFilter>
  <phoneticPr fontId="1" type="noConversion"/>
  <hyperlinks>
    <hyperlink ref="B2" r:id="rId1" display="http://shopping.udn.com/mall/Cc1a00.do?sid=91_udn&amp;utm_source=udn.com&amp;utm_medium=referral_familybar_udn&amp;utm_term=familybar_udn&amp;utm_campaign=20150103_UDN"/>
    <hyperlink ref="B3" r:id="rId2" display="http://shopping.udn.com/mall/cus/gbr/Cc1g00.do?sid=91_uD&amp;utm_source=udn.com&amp;utm_medium=referral_familybar_uD&amp;utm_term=familybar_uD&amp;utm_campaign=20150103_UDN"/>
    <hyperlink ref="B4" r:id="rId3" display="http://nba.udn.com/"/>
    <hyperlink ref="B5" r:id="rId4" display="http://stars.udn.com/"/>
    <hyperlink ref="B6" r:id="rId5" display="http://health.udn.com/"/>
    <hyperlink ref="B7" r:id="rId6" display="http://vote2016.udn.com/vote2016/"/>
    <hyperlink ref="B8" r:id="rId7" display="http://opinion.udn.com/"/>
    <hyperlink ref="B9" r:id="rId8" display="http://global.udn.com/"/>
    <hyperlink ref="B10" r:id="rId9" display="http://fund.udn.com/"/>
    <hyperlink ref="B11" r:id="rId10" display="http://house.udn.com/"/>
    <hyperlink ref="B12" r:id="rId11" display="http://reading.udn.com/"/>
    <hyperlink ref="B13" r:id="rId12" display="http://novel.udn.com/"/>
    <hyperlink ref="B14" r:id="rId13" display="http://autos.udn.com/"/>
    <hyperlink ref="B15" r:id="rId14" display="http://style.udn.com/"/>
    <hyperlink ref="B16" r:id="rId15" display="javascript:void(0);"/>
    <hyperlink ref="B17" r:id="rId16" display="http://vote2016.udn.com/vote2016/"/>
    <hyperlink ref="B18" r:id="rId17" display="http://opinion.udn.com/"/>
    <hyperlink ref="B19" r:id="rId18" display="http://global.udn.com/"/>
    <hyperlink ref="B20" r:id="rId19" display="http://fund.udn.com/"/>
    <hyperlink ref="B21" r:id="rId20" display="http://house.udn.com/"/>
    <hyperlink ref="B22" r:id="rId21" display="http://reading.udn.com/"/>
    <hyperlink ref="B23" r:id="rId22" display="http://novel.udn.com/"/>
    <hyperlink ref="B24" r:id="rId23" display="http://autos.udn.com/"/>
    <hyperlink ref="B25" r:id="rId24" display="http://style.udn.com/"/>
    <hyperlink ref="B26" r:id="rId25" display="http://theme.udn.com/"/>
    <hyperlink ref="B27" r:id="rId26" display="http://vision.udn.com/"/>
    <hyperlink ref="B28" r:id="rId27" display="http://money.udn.com/"/>
    <hyperlink ref="B29" r:id="rId28" display="http://www.cens.com/cens/html/zh/"/>
    <hyperlink ref="B30" r:id="rId29" display="http://oops.udn.com/"/>
    <hyperlink ref="B31" r:id="rId30" display="http://blog.udn.com/"/>
    <hyperlink ref="B32" r:id="rId31" display="http://utravel.udn.com/"/>
    <hyperlink ref="B33" r:id="rId32" display="http://metrojoker.com/upaper"/>
    <hyperlink ref="B34" r:id="rId33" display="http://udndata.com/"/>
    <hyperlink ref="B35" r:id="rId34" display="http://paper.udn.com/"/>
    <hyperlink ref="B36" r:id="rId35" display="https://tickets.udn.com/"/>
    <hyperlink ref="B37" r:id="rId36" display="http://video.udn.com/"/>
    <hyperlink ref="B38" r:id="rId37" display="http://ugood.udn.com/"/>
    <hyperlink ref="B40" r:id="rId38" display="http://vision.udn.com/"/>
    <hyperlink ref="B41" r:id="rId39" display="http://money.udn.com/"/>
    <hyperlink ref="B42" r:id="rId40" display="http://fund.udn.com/"/>
    <hyperlink ref="B43" r:id="rId41" display="http://www.cens.com/cens/html/zh/"/>
    <hyperlink ref="B44" r:id="rId42" display="http://health.udn.com/"/>
    <hyperlink ref="B45" r:id="rId43" display="http://autos.udn.com/"/>
    <hyperlink ref="B46" r:id="rId44" display="http://style.udn.com/"/>
    <hyperlink ref="B47" r:id="rId45" display="http://nba.udn.com/"/>
    <hyperlink ref="B48" r:id="rId46" display="http://stars.udn.com/"/>
    <hyperlink ref="B49" r:id="rId47" display="http://blog.udn.com/"/>
    <hyperlink ref="B50" r:id="rId48" display="http://utravel.udn.com/"/>
    <hyperlink ref="B51" r:id="rId49" display="http://metrojoker.com/upaper"/>
    <hyperlink ref="B52" r:id="rId50" display="http://reading.udn.com/"/>
    <hyperlink ref="B53" r:id="rId51" display="http://novel.udn.com/"/>
    <hyperlink ref="B54" r:id="rId52" display="http://house.udn.com/"/>
    <hyperlink ref="B55" r:id="rId53" display="http://udndata.com/"/>
    <hyperlink ref="B56" r:id="rId54" display="http://paper.udn.com/"/>
    <hyperlink ref="B57" r:id="rId55" display="https://tickets.udn.com/"/>
    <hyperlink ref="B58" r:id="rId56" display="http://shopping.udn.com/mall/Cc1a00.do?sid=91_udn&amp;utm_source=udn.com&amp;utm_medium=referral_familybar_udn&amp;utm_term=familybar_udn&amp;utm_campaign=20150103_UDN"/>
    <hyperlink ref="B59" r:id="rId57" display="http://shopping.udn.com/mall/cus/gbr/Cc1g00.do?sid=91_uD&amp;utm_source=udn.com&amp;utm_medium=referral_familybar_uD&amp;utm_term=familybar_uD&amp;utm_campaign=20150103_UDN"/>
    <hyperlink ref="B60" r:id="rId58" display="http://video.udn.com/"/>
    <hyperlink ref="B61" r:id="rId59" display="http://ugood.udn.com/"/>
    <hyperlink ref="B63" r:id="rId60" tooltip="回聯合新聞網首頁" display="http://udn.com/"/>
    <hyperlink ref="B64" r:id="rId61" display="http://udn.com/news/breaknews/1"/>
    <hyperlink ref="B65" r:id="rId62" display="http://udn.com/news/cate/6638"/>
    <hyperlink ref="B66" r:id="rId63" display="http://udn.com/news/cate/6648"/>
    <hyperlink ref="B67" r:id="rId64" display="http://udn.com/news/cate/7227"/>
    <hyperlink ref="B68" r:id="rId65" display="http://udn.com/news/cate/7225"/>
    <hyperlink ref="B69" r:id="rId66" display="http://udn.com/news/cate/6639"/>
    <hyperlink ref="B70" r:id="rId67" display="http://udn.com/news/cate/6644"/>
    <hyperlink ref="B71" r:id="rId68" display="http://udn.com/news/cate/6645"/>
    <hyperlink ref="B72" r:id="rId69" display="http://health.udn.com/"/>
    <hyperlink ref="B73" r:id="rId70" display="http://udn.com/news/cate/6649"/>
    <hyperlink ref="B74" r:id="rId71" display="http://udn.com/news/cindex/1012"/>
    <hyperlink ref="B75" r:id="rId72" display="http://udn.com/news/cate/6643"/>
    <hyperlink ref="B76" r:id="rId73" display="http://udn.com/news/cate/6641"/>
    <hyperlink ref="B77" r:id="rId74" display="http://udn.com/news/cate/6640"/>
    <hyperlink ref="B78" r:id="rId75" display="http://udn.com/news/cate/7226"/>
    <hyperlink ref="B79" r:id="rId76" display="http://udn.com/news/cindex/1013"/>
    <hyperlink ref="B80" r:id="rId77" display="http://udn.com/news/cindex/1014"/>
    <hyperlink ref="B81" r:id="rId78" display="http://udn.com/news/cindex/1015"/>
    <hyperlink ref="B82" r:id="rId79" display="http://shopping.udn.com/mall/Cc1a00.do?sid=94_udn&amp;utm_source=udn.com&amp;utm_medium=referral_navi_udn&amp;utm_term=navibar_udn&amp;utm_campaign=20150103_UDN"/>
    <hyperlink ref="B83" r:id="rId80" tooltip="回聯合新聞網首頁" display="http://udn.com/"/>
    <hyperlink ref="B84" r:id="rId81" display="http://udn.com/news/breaknews/1"/>
    <hyperlink ref="B85" r:id="rId82" tooltip="熱門" display="http://udn.com/rank/pv/2"/>
    <hyperlink ref="B86" r:id="rId83" display="http://udn.com/news/cate/6638"/>
    <hyperlink ref="B87" r:id="rId84" display="http://udn.com/news/cate/6648"/>
    <hyperlink ref="B88" r:id="rId85" display="http://udn.com/news/cate/7227"/>
    <hyperlink ref="B89" r:id="rId86" display="http://udn.com/news/cate/7225"/>
    <hyperlink ref="B90" r:id="rId87" display="http://udn.com/news/cate/6639"/>
    <hyperlink ref="B91" r:id="rId88" display="http://udn.com/news/cate/6644"/>
    <hyperlink ref="B92" r:id="rId89" display="http://udn.com/news/cate/6645"/>
    <hyperlink ref="B93" r:id="rId90" display="http://health.udn.com/"/>
    <hyperlink ref="B94" r:id="rId91" display="http://udn.com/news/cate/6649"/>
    <hyperlink ref="B95" r:id="rId92" display="http://udn.com/news/cindex/1012"/>
    <hyperlink ref="B96" r:id="rId93" display="http://udn.com/news/cate/6643"/>
    <hyperlink ref="B97" r:id="rId94" display="http://udn.com/news/cate/6641"/>
    <hyperlink ref="B98" r:id="rId95" display="http://udn.com/news/cate/6640"/>
    <hyperlink ref="B99" r:id="rId96" display="http://udn.com/news/cate/7226"/>
    <hyperlink ref="B100" r:id="rId97" display="http://udn.com/news/cindex/1013"/>
    <hyperlink ref="B101" r:id="rId98" display="http://udn.com/news/cindex/1014"/>
    <hyperlink ref="B102" r:id="rId99" display="http://udn.com/news/cindex/1015"/>
    <hyperlink ref="B103" r:id="rId100" display="http://style.udn.com/"/>
    <hyperlink ref="B104" r:id="rId101" display="http://autos.udn.com/"/>
    <hyperlink ref="B105" r:id="rId102" display="http://shopping.udn.com/"/>
    <hyperlink ref="B106" r:id="rId103" display="http://udn.com/news/cate/9342"/>
    <hyperlink ref="B107" r:id="rId104" display="http://udn.com/news/story/1/1548491"/>
    <hyperlink ref="B108" r:id="rId105" display="http://udn.com/"/>
    <hyperlink ref="B109" r:id="rId106" display="http://udn.com/rank/newest/2/0/1"/>
    <hyperlink ref="B110" r:id="rId107" display="http://udn.com/rank/newest/1/0/1"/>
    <hyperlink ref="B111" r:id="rId108" display="http://udn.com/rank/newest/2/6638/1"/>
    <hyperlink ref="B112" r:id="rId109" display="http://udn.com/rank/newest/2/6648/1"/>
    <hyperlink ref="B113" r:id="rId110" display="http://udn.com/rank/newest/2/7227/1"/>
    <hyperlink ref="B114" r:id="rId111" display="http://udn.com/rank/newest/2/7225/1"/>
    <hyperlink ref="B115" r:id="rId112" display="http://udn.com/rank/newest/2/6639/1"/>
    <hyperlink ref="B116" r:id="rId113" display="http://udn.com/rank/newest/2/6644/1"/>
    <hyperlink ref="B117" r:id="rId114" display="http://udn.com/rank/newest/2/6645/1"/>
    <hyperlink ref="B118" r:id="rId115" display="http://udn.com/rank/newest/2/6649/1"/>
    <hyperlink ref="B119" r:id="rId116" display="http://udn.com/rank/newest/1012/0/1"/>
    <hyperlink ref="B120" r:id="rId117" display="http://udn.com/rank/newest/2/6643/1"/>
    <hyperlink ref="B121" r:id="rId118" display="http://udn.com/rank/newest/2/6641/1"/>
    <hyperlink ref="B122" r:id="rId119" display="http://udn.com/rank/newest/2/6640/1"/>
    <hyperlink ref="B123" r:id="rId120" display="http://udn.com/rank/newest/2/7226/1"/>
    <hyperlink ref="B124" r:id="rId121" display="http://udn.com/rank/newest/1013/0/1"/>
    <hyperlink ref="B125" r:id="rId122" display="http://udn.com/rank/newest/1014/0/1"/>
    <hyperlink ref="B126" r:id="rId123" display="http://udn.com/rank/newest/1015/0/1"/>
    <hyperlink ref="B127" r:id="rId124" display="http://udn.com/rank/newest/2/6644"/>
    <hyperlink ref="B128" r:id="rId125" display="http://udn.com/rank/pv/2/6644"/>
    <hyperlink ref="B129" r:id="rId126" display="http://udn.com/rank/share/2/6644"/>
    <hyperlink ref="B131" r:id="rId127" display="http://udn.com/news/story/7241/1547887"/>
    <hyperlink ref="F131" r:id="rId128" display="http://udn.com/news/story/7241/1547887"/>
    <hyperlink ref="B132" r:id="rId129" display="http://udn.com/news/story/7241/1547916"/>
    <hyperlink ref="F132" r:id="rId130" display="http://udn.com/news/story/7241/1547916"/>
    <hyperlink ref="B133" r:id="rId131" display="http://udn.com/news/story/7241/1547949"/>
    <hyperlink ref="F133" r:id="rId132" display="http://udn.com/news/story/7241/1547949"/>
    <hyperlink ref="B134" r:id="rId133" display="http://udn.com/news/story/7241/1547865"/>
    <hyperlink ref="F134" r:id="rId134" display="http://udn.com/news/story/7241/1547865"/>
    <hyperlink ref="B135" r:id="rId135" display="http://udn.com/news/story/7241/1547868"/>
    <hyperlink ref="F135" r:id="rId136" display="http://udn.com/news/story/7241/1547868"/>
    <hyperlink ref="B136" r:id="rId137" display="http://udn.com/news/story/7241/1547811"/>
    <hyperlink ref="F136" r:id="rId138" display="http://udn.com/news/story/7241/1547811"/>
    <hyperlink ref="B137" r:id="rId139" display="http://udn.com/news/story/7244/1547755"/>
    <hyperlink ref="F137" r:id="rId140" display="http://udn.com/news/story/7244/1547755"/>
    <hyperlink ref="B138" r:id="rId141" display="http://udn.com/news/story/7244/1547751"/>
    <hyperlink ref="F138" r:id="rId142" display="http://udn.com/news/story/7244/1547751"/>
    <hyperlink ref="B139" r:id="rId143" display="http://udn.com/news/story/7244/1547753"/>
    <hyperlink ref="F139" r:id="rId144" display="http://udn.com/news/story/7244/1547753"/>
    <hyperlink ref="B140" r:id="rId145" display="http://udn.com/news/story/7244/1547752"/>
    <hyperlink ref="F140" r:id="rId146" display="http://udn.com/news/story/7244/1547752"/>
    <hyperlink ref="B141" r:id="rId147" display="http://udn.com/news/story/7243/1548086"/>
    <hyperlink ref="F141" r:id="rId148" display="http://udn.com/news/story/7243/1548086"/>
    <hyperlink ref="B142" r:id="rId149" display="http://udn.com/news/story/7243/1548084"/>
    <hyperlink ref="F142" r:id="rId150" display="http://udn.com/news/story/7243/1548084"/>
    <hyperlink ref="B143" r:id="rId151" display="http://udn.com/news/story/7243/1548082"/>
    <hyperlink ref="F143" r:id="rId152" display="http://udn.com/news/story/7243/1548082"/>
    <hyperlink ref="B144" r:id="rId153" display="http://udn.com/news/story/7243/1548080"/>
    <hyperlink ref="F144" r:id="rId154" display="http://udn.com/news/story/7243/1548080"/>
    <hyperlink ref="B145" r:id="rId155" display="http://udn.com/news/story/7243/1548078"/>
    <hyperlink ref="F145" r:id="rId156" display="http://udn.com/news/story/7243/1548078"/>
    <hyperlink ref="B146" r:id="rId157" display="http://udn.com/news/story/7240/1548073"/>
    <hyperlink ref="F146" r:id="rId158" display="http://udn.com/news/story/7240/1548073"/>
    <hyperlink ref="B147" r:id="rId159" display="http://udn.com/news/story/7240/1548074"/>
    <hyperlink ref="F147" r:id="rId160" display="http://udn.com/news/story/7240/1548074"/>
    <hyperlink ref="B148" r:id="rId161" display="http://udn.com/news/story/7240/1548072"/>
    <hyperlink ref="F148" r:id="rId162" display="http://udn.com/news/story/7240/1548072"/>
    <hyperlink ref="B149" r:id="rId163" display="http://udn.com/news/story/7240/1548030"/>
    <hyperlink ref="F149" r:id="rId164" display="http://udn.com/news/story/7240/1548030"/>
    <hyperlink ref="B150" r:id="rId165" display="http://udn.com/news/story/7240/1548027"/>
    <hyperlink ref="F150" r:id="rId166" display="http://udn.com/news/story/7240/1548027"/>
    <hyperlink ref="B151" r:id="rId167" display="http://udn.com/news/story/7241/1548031"/>
    <hyperlink ref="F151" r:id="rId168" display="http://udn.com/news/story/7241/1548031"/>
    <hyperlink ref="B152" r:id="rId169" display="http://udn.com/news/story/7241/1548025"/>
    <hyperlink ref="F152" r:id="rId170" display="http://udn.com/news/story/7241/1548025"/>
    <hyperlink ref="B153" r:id="rId171" display="http://udn.com/news/story/7239/1548108"/>
    <hyperlink ref="F153" r:id="rId172" display="http://udn.com/news/story/7239/1548108"/>
    <hyperlink ref="B154" r:id="rId173" display="http://udn.com/news/story/7239/1548118"/>
    <hyperlink ref="F154" r:id="rId174" display="http://udn.com/news/story/7239/1548118"/>
    <hyperlink ref="B155" r:id="rId175" display="http://udn.com/news/story/7239/1548119"/>
    <hyperlink ref="F155" r:id="rId176" display="http://udn.com/news/story/7239/1548119"/>
    <hyperlink ref="B156" r:id="rId177" display="http://udn.com/news/story/7239/1548109"/>
    <hyperlink ref="F156" r:id="rId178" display="http://udn.com/news/story/7239/1548109"/>
    <hyperlink ref="B157" r:id="rId179" display="http://udn.com/news/story/7239/1548116"/>
    <hyperlink ref="F157" r:id="rId180" display="http://udn.com/news/story/7239/1548116"/>
    <hyperlink ref="B158" r:id="rId181" display="http://udn.com/news/story/7239/1548120"/>
    <hyperlink ref="F158" r:id="rId182" display="http://udn.com/news/story/7239/1548120"/>
    <hyperlink ref="B159" r:id="rId183" display="http://udn.com/news/story/7239/1548126"/>
    <hyperlink ref="F159" r:id="rId184" display="http://udn.com/news/story/7239/1548126"/>
    <hyperlink ref="B160" r:id="rId185" display="http://udn.com/news/story/7239/1548133"/>
    <hyperlink ref="F160" r:id="rId186" display="http://udn.com/news/story/7239/1548133"/>
    <hyperlink ref="B161" r:id="rId187" display="http://udn.com/news/story/7238/1548141"/>
    <hyperlink ref="F161" r:id="rId188" display="http://udn.com/news/story/7238/1548141"/>
    <hyperlink ref="B162" r:id="rId189" display="http://udn.com/news/story/7238/1547564"/>
    <hyperlink ref="F162" r:id="rId190" display="http://udn.com/news/story/7238/1547564"/>
    <hyperlink ref="B163" r:id="rId191" display="http://udn.com/news/story/7238/1548103"/>
    <hyperlink ref="F163" r:id="rId192" display="http://udn.com/news/story/7238/1548103"/>
    <hyperlink ref="B164" r:id="rId193" display="http://udn.com/news/story/7238/1548098"/>
    <hyperlink ref="F164" r:id="rId194" display="http://udn.com/news/story/7238/1548098"/>
    <hyperlink ref="B165" r:id="rId195" display="http://udn.com/news/story/7238/1548096"/>
    <hyperlink ref="F165" r:id="rId196" display="http://udn.com/news/story/7238/1548096"/>
    <hyperlink ref="B166" r:id="rId197" display="http://udn.com/news/story/7238/1548169"/>
    <hyperlink ref="F166" r:id="rId198" display="http://udn.com/news/story/7238/1548169"/>
    <hyperlink ref="B167" r:id="rId199" display="http://udn.com/news/story/9523/1548139"/>
    <hyperlink ref="F167" r:id="rId200" display="http://udn.com/news/story/9523/1548139"/>
    <hyperlink ref="B168" r:id="rId201" display="http://udn.com/news/story/7240/1548010"/>
    <hyperlink ref="F168" r:id="rId202" display="http://udn.com/news/story/7240/1548010"/>
    <hyperlink ref="B169" r:id="rId203" display="http://udn.com/news/story/7240/1548007"/>
    <hyperlink ref="F169" r:id="rId204" display="http://udn.com/news/story/7240/1548007"/>
    <hyperlink ref="B170" r:id="rId205" display="http://udn.com/news/story/7240/1548008"/>
    <hyperlink ref="F170" r:id="rId206" display="http://udn.com/news/story/7240/1548008"/>
    <hyperlink ref="B171" r:id="rId207" display="http://udn.com/news/story/7240/1547473"/>
    <hyperlink ref="F171" r:id="rId208" display="http://udn.com/news/story/7240/1547473"/>
    <hyperlink ref="B172" r:id="rId209" display="http://udn.com/news/story/7241/1548016"/>
    <hyperlink ref="F172" r:id="rId210" display="http://udn.com/news/story/7241/1548016"/>
    <hyperlink ref="B173" r:id="rId211" display="http://udn.com/news/story/7241/1548148"/>
    <hyperlink ref="F173" r:id="rId212" display="http://udn.com/news/story/7241/1548148"/>
    <hyperlink ref="B174" r:id="rId213" display="http://udn.com/news/story/7241/1548149"/>
    <hyperlink ref="F174" r:id="rId214" display="http://udn.com/news/story/7241/1548149"/>
    <hyperlink ref="B175" r:id="rId215" display="http://udn.com/news/story/7239/1548150"/>
    <hyperlink ref="F175" r:id="rId216" display="http://udn.com/news/story/7239/1548150"/>
    <hyperlink ref="B176" r:id="rId217" display="http://udn.com/news/story/7239/1548151"/>
    <hyperlink ref="F176" r:id="rId218" display="http://udn.com/news/story/7239/1548151"/>
    <hyperlink ref="B177" r:id="rId219" display="http://udn.com/news/story/7239/1548152"/>
    <hyperlink ref="F177" r:id="rId220" display="http://udn.com/news/story/7239/1548152"/>
    <hyperlink ref="B178" r:id="rId221" display="http://udn.com/news/story/7239/1548153"/>
    <hyperlink ref="F178" r:id="rId222" display="http://udn.com/news/story/7239/1548153"/>
    <hyperlink ref="B179" r:id="rId223" display="http://udn.com/news/story/7239/1547474"/>
    <hyperlink ref="F179" r:id="rId224" display="http://udn.com/news/story/7239/1547474"/>
    <hyperlink ref="B180" r:id="rId225" display="http://udn.com/news/story/7238/1548102"/>
    <hyperlink ref="F180" r:id="rId226" display="http://udn.com/news/story/7238/1548102"/>
    <hyperlink ref="B181" r:id="rId227" display="http://udn.com/news/story/7238/1548101"/>
    <hyperlink ref="F181" r:id="rId228" display="http://udn.com/news/story/7238/1548101"/>
    <hyperlink ref="B182" r:id="rId229" display="http://udn.com/news/story/7238/1548094"/>
    <hyperlink ref="F182" r:id="rId230" display="http://udn.com/news/story/7238/1548094"/>
    <hyperlink ref="B183" r:id="rId231" display="http://udn.com/news/story/9523/1548107"/>
    <hyperlink ref="F183" r:id="rId232" display="http://udn.com/news/story/9523/1548107"/>
    <hyperlink ref="B184" r:id="rId233" display="http://udn.com/news/story/9523/1548106"/>
    <hyperlink ref="F184" r:id="rId234" display="http://udn.com/news/story/9523/1548106"/>
    <hyperlink ref="B185" r:id="rId235" display="http://udn.com/news/story/9523/1548100"/>
    <hyperlink ref="F185" r:id="rId236" display="http://udn.com/news/story/9523/1548100"/>
    <hyperlink ref="B186" r:id="rId237" display="http://udn.com/news/story/9523/1548095"/>
    <hyperlink ref="F186" r:id="rId238" display="http://udn.com/news/story/9523/1548095"/>
    <hyperlink ref="B187" r:id="rId239" display="http://udn.com/news/story/7240/1546627"/>
    <hyperlink ref="F187" r:id="rId240" display="http://udn.com/news/story/7240/1546627"/>
    <hyperlink ref="B188" r:id="rId241" display="http://udn.com/news/story/7240/1546633"/>
    <hyperlink ref="F188" r:id="rId242" display="http://udn.com/news/story/7240/1546633"/>
    <hyperlink ref="B189" r:id="rId243" display="http://udn.com/news/story/7238/1546626"/>
    <hyperlink ref="F189" r:id="rId244" display="http://udn.com/news/story/7238/1546626"/>
    <hyperlink ref="B190" r:id="rId245" display="http://udn.com/news/story/7241/1546664"/>
    <hyperlink ref="F190" r:id="rId246" display="http://udn.com/news/story/7241/1546664"/>
    <hyperlink ref="B193" r:id="rId247" display="https://www.facebook.com/myudn"/>
    <hyperlink ref="B194" r:id="rId248" display="https://plus.google.com/105298219321543859712/posts"/>
    <hyperlink ref="B195" r:id="rId249" display="http://event.udn.com/line/"/>
    <hyperlink ref="B198" r:id="rId250" display="http://udn.com/news/breaknews/1"/>
    <hyperlink ref="B199" r:id="rId251" display="http://udn.com/news/cate/6638"/>
    <hyperlink ref="B200" r:id="rId252" display="http://udn.com/news/cate/6639"/>
    <hyperlink ref="B201" r:id="rId253" display="http://udn.com/news/cate/6641"/>
    <hyperlink ref="B202" r:id="rId254" display="http://udn.com/news/cate/6640"/>
    <hyperlink ref="B203" r:id="rId255" display="http://udn.com/news/cate/7225"/>
    <hyperlink ref="B204" r:id="rId256" display="http://udn.com/news/cate/6643"/>
    <hyperlink ref="B205" r:id="rId257" display="http://udn.com/news/cate/6644"/>
    <hyperlink ref="B206" r:id="rId258" display="http://udn.com/news/cate/6645"/>
    <hyperlink ref="B207" r:id="rId259" display="http://udn.com/news/cate/7227"/>
    <hyperlink ref="B208" r:id="rId260" display="http://udn.com/news/cate/7226"/>
    <hyperlink ref="B209" r:id="rId261" display="http://udn.com/news/cate/6648"/>
    <hyperlink ref="B210" r:id="rId262" display="http://udn.com/news/cate/6649"/>
    <hyperlink ref="B211" r:id="rId263" display="http://udn.com/news/cindex/1012"/>
    <hyperlink ref="B212" r:id="rId264" display="http://udn.com/news/cindex/1013"/>
    <hyperlink ref="B213" r:id="rId265" display="http://udn.com/news/cindex/1014"/>
    <hyperlink ref="B214" r:id="rId266" display="http://udn.com/news/cindex/1015"/>
    <hyperlink ref="B215" r:id="rId267" display="http://theme.udn.com/theme/index"/>
    <hyperlink ref="B217" r:id="rId268" display="http://global.udn.com/"/>
    <hyperlink ref="B218" r:id="rId269" display="http://opinion.udn.com/"/>
    <hyperlink ref="B219" r:id="rId270" display="http://debate.udn.com/"/>
    <hyperlink ref="B221" r:id="rId271" display="http://udn.com/rank/newest/2/0"/>
    <hyperlink ref="B222" r:id="rId272" display="http://udn.com/rank/pv/2"/>
    <hyperlink ref="B223" r:id="rId273" display="http://udn.com/rank/share/2/0"/>
    <hyperlink ref="B225" r:id="rId274" display="http://health.udn.com/disease/disease_list"/>
    <hyperlink ref="B226" r:id="rId275" display="http://health.udn.com/health/cate/5681"/>
    <hyperlink ref="B227" r:id="rId276" display="http://health.udn.com/health/cate/5680/"/>
    <hyperlink ref="B228" r:id="rId277" display="http://health.udn.com/health/cate/5683"/>
    <hyperlink ref="B229" r:id="rId278" display="http://health.udn.com/health/cate/5684"/>
    <hyperlink ref="B230" r:id="rId279" display="http://health.udn.com/health/cate/5685"/>
    <hyperlink ref="B232" r:id="rId280" display="http://money.udn.com/money/cate/5594"/>
    <hyperlink ref="B233" r:id="rId281" display="http://money.udn.com/money/cate/5595"/>
    <hyperlink ref="B234" r:id="rId282" display="http://fund.udn.com/"/>
    <hyperlink ref="B235" r:id="rId283" display="http://house.udn.com/"/>
    <hyperlink ref="B236" r:id="rId284" display="http://udn.com/lotto/"/>
    <hyperlink ref="B237" r:id="rId285" display="http://udn.com/invoice/"/>
    <hyperlink ref="B238" r:id="rId286" display="http://www.cens.com/cens/html/zh/"/>
    <hyperlink ref="B240" r:id="rId287" display="http://tw.global.nba.com/scores/"/>
    <hyperlink ref="B241" r:id="rId288" location="!/7" display="http://tw.global.nba.com/schedule/ - !/7"/>
    <hyperlink ref="B242" r:id="rId289" display="http://nba.udn.com/nba/videos/"/>
    <hyperlink ref="B243" r:id="rId290" display="http://nba.udn.com/nba/news/"/>
    <hyperlink ref="B244" r:id="rId291" display="http://nba.udn.com/nba/review/"/>
    <hyperlink ref="B245" r:id="rId292" display="http://nba.udn.com/photos/index/"/>
    <hyperlink ref="B246" r:id="rId293" display="http://tw.global.nba.com/standings/"/>
    <hyperlink ref="B247" r:id="rId294" display="http://tw.global.nba.com/statistics/"/>
    <hyperlink ref="B249" r:id="rId295" display="http://stars.udn.com/"/>
    <hyperlink ref="B250" r:id="rId296" display="http://stars.udn.com/stars/latest"/>
    <hyperlink ref="B251" r:id="rId297" display="http://stars.udn.com/stars/hot/"/>
    <hyperlink ref="B252" r:id="rId298" display="http://stars.udn.com/stars/search"/>
    <hyperlink ref="B253" r:id="rId299" display="http://stars.udn.com/stars/issue"/>
    <hyperlink ref="B254" r:id="rId300" display="http://stars.udn.com/stars/calendar"/>
    <hyperlink ref="B256" r:id="rId301" display="http://autos.udn.com/autos/cate/7824"/>
    <hyperlink ref="B257" r:id="rId302" display="http://autos.udn.com/autos/cate/7823"/>
    <hyperlink ref="B258" r:id="rId303" display="http://autos.udn.com/autos/cate/7821"/>
    <hyperlink ref="B259" r:id="rId304" display="http://autos.udn.com/autos/cate/7820"/>
    <hyperlink ref="B260" r:id="rId305" display="http://autos.udn.com/autos/cate/7818"/>
    <hyperlink ref="B262" r:id="rId306" display="http://style.udn.com/style/cate/8052"/>
    <hyperlink ref="B263" r:id="rId307" display="http://style.udn.com/style/cate/8053"/>
    <hyperlink ref="B264" r:id="rId308" display="http://style.udn.com/style/cate/8054"/>
    <hyperlink ref="B265" r:id="rId309" display="http://style.udn.com/style/cate/8055"/>
    <hyperlink ref="B266" r:id="rId310" display="http://style.udn.com/style/cate/8057"/>
    <hyperlink ref="B267" r:id="rId311" display="http://style.udn.com/style/cate/8058"/>
    <hyperlink ref="B269" r:id="rId312" display="http://video.udn.com/"/>
    <hyperlink ref="B270" r:id="rId313" display="http://tv.udn.com/"/>
    <hyperlink ref="B271" r:id="rId314" display="http://event.udn.com/line/"/>
    <hyperlink ref="B272" r:id="rId315" display="http://blog.udn.com/"/>
    <hyperlink ref="B274" r:id="rId316" display="http://paper.udn.com/"/>
    <hyperlink ref="B275" r:id="rId317" display="http://reading.udn.com/v2/paperMain.do"/>
    <hyperlink ref="B276" r:id="rId318" display="http://reading.udn.com/v2/bookMain.do"/>
    <hyperlink ref="B277" r:id="rId319" display="http://reading.udn.com/v2/magMain.do"/>
    <hyperlink ref="B279" r:id="rId320" display="http://udndata.com/"/>
    <hyperlink ref="B280" r:id="rId321" display="http://udndata.com/fullpage/"/>
    <hyperlink ref="B281" r:id="rId322" display="http://udndata.com/image"/>
    <hyperlink ref="B282" r:id="rId323" display="http://udndata.com/video/"/>
    <hyperlink ref="B283" r:id="rId324" display="http://udndata.com/store/"/>
    <hyperlink ref="B285" r:id="rId325" display="http://shopping.udn.com/mall/Cc1a00.do?sid=91&amp;utm_source=udn.com&amp;utm_medium=referral_footer_shopping&amp;utm_term=footer_shopping&amp;utm_campaign=20150103_UDN"/>
    <hyperlink ref="B286" r:id="rId326" display="http://mobile.udn.com/web/index.html"/>
    <hyperlink ref="B287" r:id="rId327" display="http://event.udn.com/index/index.html"/>
    <hyperlink ref="B288" r:id="rId328" display="http://utravel.udn.com/"/>
    <hyperlink ref="B289" r:id="rId329" display="http://ugood.udn.com/"/>
    <hyperlink ref="B292" display="Top"/>
    <hyperlink ref="B293" r:id="rId330" display="http://udn.com/"/>
    <hyperlink ref="B294" r:id="rId331" display="http://udn.com/weather/"/>
    <hyperlink ref="B295" r:id="rId332" display="http://health.udn.com/"/>
    <hyperlink ref="B296" r:id="rId333" display="http://nba.udn.com/"/>
    <hyperlink ref="B297" r:id="rId334" display="http://stars.udn.com/"/>
    <hyperlink ref="B298" r:id="rId335" display="http://vision.udn.com/"/>
    <hyperlink ref="B299" r:id="rId336" display="http://autos.udn.com/"/>
    <hyperlink ref="B300" r:id="rId337" display="http://style.udn.com/"/>
    <hyperlink ref="B301" r:id="rId338" display="http://opinion.udn.com/"/>
    <hyperlink ref="B302" r:id="rId339" display="http://global.udn.com/"/>
    <hyperlink ref="B303" r:id="rId340" display="http://theme.udn.com/"/>
    <hyperlink ref="B304" r:id="rId341" display="http://money.udn.com/"/>
    <hyperlink ref="B305" r:id="rId342" display="http://video.udn.com/"/>
    <hyperlink ref="B306" r:id="rId343" display="http://oops.udn.com/"/>
    <hyperlink ref="B307" r:id="rId344" display="http://blog.udn.com/"/>
    <hyperlink ref="B308" r:id="rId345" display="http://fund.udn.com/"/>
    <hyperlink ref="B309" r:id="rId346" display="http://house.udn.com/"/>
    <hyperlink ref="B310" r:id="rId347" display="http://udn.com/mypage/slist"/>
    <hyperlink ref="B311" r:id="rId348" display="http://mobile.udn.com/web/app.html"/>
    <hyperlink ref="B312" r:id="rId349" display="http://udn.com/page/topic/496"/>
    <hyperlink ref="B313" r:id="rId350" display="http://udn.com/page/topic/185"/>
    <hyperlink ref="B314" r:id="rId351" display="http://udn.com/page/topic/87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enableFormatConditionsCalculation="0"/>
  <dimension ref="A2:H315"/>
  <sheetViews>
    <sheetView topLeftCell="A121" workbookViewId="0">
      <selection activeCell="D190" sqref="D131:D190"/>
    </sheetView>
  </sheetViews>
  <sheetFormatPr baseColWidth="10" defaultColWidth="8.83203125" defaultRowHeight="15" x14ac:dyDescent="0.15"/>
  <cols>
    <col min="3" max="3" width="3.83203125" customWidth="1"/>
    <col min="4" max="4" width="37.83203125" customWidth="1"/>
    <col min="5" max="7" width="8.83203125" customWidth="1"/>
    <col min="8" max="8" width="11.1640625" customWidth="1"/>
  </cols>
  <sheetData>
    <row r="2" spans="1:3" x14ac:dyDescent="0.15">
      <c r="A2" t="s">
        <v>163</v>
      </c>
      <c r="B2">
        <v>2</v>
      </c>
      <c r="C2" s="4" t="s">
        <v>11</v>
      </c>
    </row>
    <row r="3" spans="1:3" x14ac:dyDescent="0.15">
      <c r="A3" t="s">
        <v>164</v>
      </c>
      <c r="B3">
        <v>11</v>
      </c>
      <c r="C3" s="4" t="s">
        <v>12</v>
      </c>
    </row>
    <row r="4" spans="1:3" x14ac:dyDescent="0.15">
      <c r="A4" t="s">
        <v>165</v>
      </c>
      <c r="B4">
        <v>23</v>
      </c>
      <c r="C4" s="4" t="s">
        <v>13</v>
      </c>
    </row>
    <row r="5" spans="1:3" x14ac:dyDescent="0.15">
      <c r="A5" t="s">
        <v>165</v>
      </c>
      <c r="B5">
        <v>21</v>
      </c>
      <c r="C5" s="4" t="s">
        <v>14</v>
      </c>
    </row>
    <row r="6" spans="1:3" x14ac:dyDescent="0.15">
      <c r="A6" t="s">
        <v>166</v>
      </c>
      <c r="B6">
        <v>11</v>
      </c>
      <c r="C6" s="4" t="s">
        <v>15</v>
      </c>
    </row>
    <row r="7" spans="1:3" x14ac:dyDescent="0.15">
      <c r="A7" t="s">
        <v>167</v>
      </c>
      <c r="B7">
        <v>13</v>
      </c>
      <c r="C7" s="4" t="s">
        <v>16</v>
      </c>
    </row>
    <row r="8" spans="1:3" x14ac:dyDescent="0.15">
      <c r="A8" t="s">
        <v>168</v>
      </c>
      <c r="B8">
        <v>22</v>
      </c>
      <c r="C8" s="4" t="s">
        <v>17</v>
      </c>
    </row>
    <row r="9" spans="1:3" x14ac:dyDescent="0.15">
      <c r="A9" t="s">
        <v>169</v>
      </c>
      <c r="B9">
        <v>13</v>
      </c>
      <c r="C9" s="4" t="s">
        <v>18</v>
      </c>
    </row>
    <row r="10" spans="1:3" x14ac:dyDescent="0.15">
      <c r="A10" t="s">
        <v>170</v>
      </c>
      <c r="B10">
        <v>14</v>
      </c>
      <c r="C10" s="4" t="s">
        <v>19</v>
      </c>
    </row>
    <row r="11" spans="1:3" x14ac:dyDescent="0.15">
      <c r="A11" t="s">
        <v>171</v>
      </c>
      <c r="B11">
        <v>12</v>
      </c>
      <c r="C11" s="4" t="s">
        <v>20</v>
      </c>
    </row>
    <row r="12" spans="1:3" x14ac:dyDescent="0.15">
      <c r="A12" t="s">
        <v>172</v>
      </c>
      <c r="B12">
        <v>13</v>
      </c>
      <c r="C12" s="4" t="s">
        <v>21</v>
      </c>
    </row>
    <row r="13" spans="1:3" x14ac:dyDescent="0.15">
      <c r="A13" t="s">
        <v>173</v>
      </c>
      <c r="B13">
        <v>12</v>
      </c>
      <c r="C13" s="4" t="s">
        <v>22</v>
      </c>
    </row>
    <row r="14" spans="1:3" x14ac:dyDescent="0.15">
      <c r="A14" t="s">
        <v>174</v>
      </c>
      <c r="B14">
        <v>17</v>
      </c>
      <c r="C14" s="4" t="s">
        <v>23</v>
      </c>
    </row>
    <row r="15" spans="1:3" x14ac:dyDescent="0.15">
      <c r="A15" t="s">
        <v>175</v>
      </c>
      <c r="B15">
        <v>14</v>
      </c>
      <c r="C15" s="4" t="s">
        <v>24</v>
      </c>
    </row>
    <row r="16" spans="1:3" x14ac:dyDescent="0.15">
      <c r="A16" t="s">
        <v>176</v>
      </c>
      <c r="B16">
        <v>15</v>
      </c>
      <c r="C16" s="4" t="s">
        <v>25</v>
      </c>
    </row>
    <row r="17" spans="1:3" x14ac:dyDescent="0.15">
      <c r="A17" t="s">
        <v>176</v>
      </c>
      <c r="B17">
        <v>15</v>
      </c>
      <c r="C17" s="2" t="s">
        <v>16</v>
      </c>
    </row>
    <row r="18" spans="1:3" x14ac:dyDescent="0.15">
      <c r="A18" t="s">
        <v>177</v>
      </c>
      <c r="B18">
        <v>14</v>
      </c>
      <c r="C18" s="2" t="s">
        <v>17</v>
      </c>
    </row>
    <row r="19" spans="1:3" x14ac:dyDescent="0.15">
      <c r="A19" t="s">
        <v>178</v>
      </c>
      <c r="B19">
        <v>16</v>
      </c>
      <c r="C19" s="2" t="s">
        <v>18</v>
      </c>
    </row>
    <row r="20" spans="1:3" x14ac:dyDescent="0.15">
      <c r="A20" t="s">
        <v>178</v>
      </c>
      <c r="B20">
        <v>16</v>
      </c>
      <c r="C20" s="2" t="s">
        <v>19</v>
      </c>
    </row>
    <row r="21" spans="1:3" x14ac:dyDescent="0.15">
      <c r="A21" t="s">
        <v>178</v>
      </c>
      <c r="B21">
        <v>16</v>
      </c>
      <c r="C21" s="2" t="s">
        <v>20</v>
      </c>
    </row>
    <row r="22" spans="1:3" x14ac:dyDescent="0.15">
      <c r="A22" t="s">
        <v>178</v>
      </c>
      <c r="B22">
        <v>16</v>
      </c>
      <c r="C22" s="2" t="s">
        <v>21</v>
      </c>
    </row>
    <row r="23" spans="1:3" x14ac:dyDescent="0.15">
      <c r="A23" t="s">
        <v>166</v>
      </c>
      <c r="B23">
        <v>15</v>
      </c>
      <c r="C23" s="2" t="s">
        <v>22</v>
      </c>
    </row>
    <row r="24" spans="1:3" x14ac:dyDescent="0.15">
      <c r="A24" t="s">
        <v>179</v>
      </c>
      <c r="B24">
        <v>15</v>
      </c>
      <c r="C24" s="2" t="s">
        <v>23</v>
      </c>
    </row>
    <row r="25" spans="1:3" x14ac:dyDescent="0.15">
      <c r="A25" t="s">
        <v>180</v>
      </c>
      <c r="B25">
        <v>16</v>
      </c>
      <c r="C25" s="2" t="s">
        <v>24</v>
      </c>
    </row>
    <row r="26" spans="1:3" x14ac:dyDescent="0.15">
      <c r="A26" t="s">
        <v>181</v>
      </c>
      <c r="B26">
        <v>13</v>
      </c>
      <c r="C26" s="2" t="s">
        <v>26</v>
      </c>
    </row>
    <row r="27" spans="1:3" x14ac:dyDescent="0.15">
      <c r="A27" t="s">
        <v>182</v>
      </c>
      <c r="B27">
        <v>16</v>
      </c>
      <c r="C27" s="2" t="s">
        <v>27</v>
      </c>
    </row>
    <row r="28" spans="1:3" x14ac:dyDescent="0.15">
      <c r="A28" t="s">
        <v>176</v>
      </c>
      <c r="B28">
        <v>15</v>
      </c>
      <c r="C28" s="2" t="s">
        <v>1</v>
      </c>
    </row>
    <row r="29" spans="1:3" x14ac:dyDescent="0.15">
      <c r="A29" t="s">
        <v>176</v>
      </c>
      <c r="B29">
        <v>15</v>
      </c>
      <c r="C29" s="2" t="s">
        <v>28</v>
      </c>
    </row>
    <row r="30" spans="1:3" x14ac:dyDescent="0.15">
      <c r="A30" t="s">
        <v>183</v>
      </c>
      <c r="B30">
        <v>14</v>
      </c>
      <c r="C30" s="2" t="s">
        <v>29</v>
      </c>
    </row>
    <row r="31" spans="1:3" x14ac:dyDescent="0.15">
      <c r="A31" t="s">
        <v>184</v>
      </c>
      <c r="B31">
        <v>12</v>
      </c>
      <c r="C31" s="2" t="s">
        <v>30</v>
      </c>
    </row>
    <row r="32" spans="1:3" x14ac:dyDescent="0.15">
      <c r="A32" t="s">
        <v>185</v>
      </c>
      <c r="B32">
        <v>10</v>
      </c>
      <c r="C32" s="2" t="s">
        <v>31</v>
      </c>
    </row>
    <row r="33" spans="1:3" x14ac:dyDescent="0.15">
      <c r="A33" t="s">
        <v>186</v>
      </c>
      <c r="B33">
        <v>12</v>
      </c>
      <c r="C33" s="2" t="s">
        <v>32</v>
      </c>
    </row>
    <row r="34" spans="1:3" x14ac:dyDescent="0.15">
      <c r="A34" t="s">
        <v>187</v>
      </c>
      <c r="B34">
        <v>16</v>
      </c>
      <c r="C34" s="2" t="s">
        <v>33</v>
      </c>
    </row>
    <row r="35" spans="1:3" x14ac:dyDescent="0.15">
      <c r="A35" t="s">
        <v>188</v>
      </c>
      <c r="B35">
        <v>643</v>
      </c>
      <c r="C35" s="2" t="s">
        <v>34</v>
      </c>
    </row>
    <row r="36" spans="1:3" x14ac:dyDescent="0.15">
      <c r="A36" t="s">
        <v>189</v>
      </c>
      <c r="B36">
        <v>18</v>
      </c>
      <c r="C36" s="2" t="s">
        <v>35</v>
      </c>
    </row>
    <row r="37" spans="1:3" x14ac:dyDescent="0.15">
      <c r="A37" t="s">
        <v>189</v>
      </c>
      <c r="B37">
        <v>18</v>
      </c>
      <c r="C37" s="2" t="s">
        <v>36</v>
      </c>
    </row>
    <row r="38" spans="1:3" x14ac:dyDescent="0.15">
      <c r="A38" t="s">
        <v>190</v>
      </c>
      <c r="B38">
        <v>13</v>
      </c>
      <c r="C38" s="2" t="s">
        <v>37</v>
      </c>
    </row>
    <row r="39" spans="1:3" x14ac:dyDescent="0.15">
      <c r="A39" t="s">
        <v>191</v>
      </c>
      <c r="B39">
        <v>19</v>
      </c>
      <c r="C39" s="36" t="s">
        <v>3443</v>
      </c>
    </row>
    <row r="40" spans="1:3" x14ac:dyDescent="0.15">
      <c r="A40" t="s">
        <v>192</v>
      </c>
      <c r="B40">
        <v>14</v>
      </c>
      <c r="C40" s="4" t="s">
        <v>27</v>
      </c>
    </row>
    <row r="41" spans="1:3" x14ac:dyDescent="0.15">
      <c r="A41" t="s">
        <v>193</v>
      </c>
      <c r="B41">
        <v>32</v>
      </c>
      <c r="C41" s="4" t="s">
        <v>1</v>
      </c>
    </row>
    <row r="42" spans="1:3" x14ac:dyDescent="0.15">
      <c r="A42" t="s">
        <v>194</v>
      </c>
      <c r="B42">
        <v>12</v>
      </c>
      <c r="C42" s="4" t="s">
        <v>19</v>
      </c>
    </row>
    <row r="43" spans="1:3" x14ac:dyDescent="0.15">
      <c r="A43" t="s">
        <v>195</v>
      </c>
      <c r="B43">
        <v>19</v>
      </c>
      <c r="C43" s="4" t="s">
        <v>28</v>
      </c>
    </row>
    <row r="44" spans="1:3" x14ac:dyDescent="0.15">
      <c r="A44" t="s">
        <v>187</v>
      </c>
      <c r="B44">
        <v>20</v>
      </c>
      <c r="C44" s="4" t="s">
        <v>38</v>
      </c>
    </row>
    <row r="45" spans="1:3" x14ac:dyDescent="0.15">
      <c r="A45" t="s">
        <v>196</v>
      </c>
      <c r="B45">
        <v>28</v>
      </c>
      <c r="C45" s="4" t="s">
        <v>23</v>
      </c>
    </row>
    <row r="46" spans="1:3" x14ac:dyDescent="0.15">
      <c r="A46" t="s">
        <v>187</v>
      </c>
      <c r="B46">
        <v>20</v>
      </c>
      <c r="C46" s="4" t="s">
        <v>24</v>
      </c>
    </row>
    <row r="47" spans="1:3" x14ac:dyDescent="0.15">
      <c r="A47" t="s">
        <v>197</v>
      </c>
      <c r="B47">
        <v>25</v>
      </c>
      <c r="C47" s="4" t="s">
        <v>39</v>
      </c>
    </row>
    <row r="48" spans="1:3" x14ac:dyDescent="0.15">
      <c r="C48" s="4" t="s">
        <v>14</v>
      </c>
    </row>
    <row r="49" spans="3:3" x14ac:dyDescent="0.15">
      <c r="C49" s="4" t="s">
        <v>30</v>
      </c>
    </row>
    <row r="50" spans="3:3" x14ac:dyDescent="0.15">
      <c r="C50" s="4" t="s">
        <v>31</v>
      </c>
    </row>
    <row r="51" spans="3:3" x14ac:dyDescent="0.15">
      <c r="C51" s="4" t="s">
        <v>32</v>
      </c>
    </row>
    <row r="52" spans="3:3" x14ac:dyDescent="0.15">
      <c r="C52" s="4" t="s">
        <v>21</v>
      </c>
    </row>
    <row r="53" spans="3:3" x14ac:dyDescent="0.15">
      <c r="C53" s="4" t="s">
        <v>22</v>
      </c>
    </row>
    <row r="54" spans="3:3" x14ac:dyDescent="0.15">
      <c r="C54" s="4" t="s">
        <v>20</v>
      </c>
    </row>
    <row r="55" spans="3:3" x14ac:dyDescent="0.15">
      <c r="C55" s="4" t="s">
        <v>33</v>
      </c>
    </row>
    <row r="56" spans="3:3" x14ac:dyDescent="0.15">
      <c r="C56" s="4" t="s">
        <v>34</v>
      </c>
    </row>
    <row r="57" spans="3:3" x14ac:dyDescent="0.15">
      <c r="C57" s="4" t="s">
        <v>35</v>
      </c>
    </row>
    <row r="58" spans="3:3" x14ac:dyDescent="0.15">
      <c r="C58" s="4" t="s">
        <v>11</v>
      </c>
    </row>
    <row r="59" spans="3:3" x14ac:dyDescent="0.15">
      <c r="C59" s="4" t="s">
        <v>12</v>
      </c>
    </row>
    <row r="60" spans="3:3" x14ac:dyDescent="0.15">
      <c r="C60" s="4" t="s">
        <v>36</v>
      </c>
    </row>
    <row r="61" spans="3:3" x14ac:dyDescent="0.15">
      <c r="C61" s="4" t="s">
        <v>37</v>
      </c>
    </row>
    <row r="62" spans="3:3" x14ac:dyDescent="0.15">
      <c r="C62" s="37" t="s">
        <v>3869</v>
      </c>
    </row>
    <row r="63" spans="3:3" x14ac:dyDescent="0.15">
      <c r="C63" s="4" t="s">
        <v>0</v>
      </c>
    </row>
    <row r="64" spans="3:3" x14ac:dyDescent="0.15">
      <c r="C64" s="4" t="s">
        <v>40</v>
      </c>
    </row>
    <row r="65" spans="3:3" x14ac:dyDescent="0.15">
      <c r="C65" s="4" t="s">
        <v>2</v>
      </c>
    </row>
    <row r="66" spans="3:3" x14ac:dyDescent="0.15">
      <c r="C66" s="4" t="s">
        <v>41</v>
      </c>
    </row>
    <row r="67" spans="3:3" x14ac:dyDescent="0.15">
      <c r="C67" s="4" t="s">
        <v>42</v>
      </c>
    </row>
    <row r="68" spans="3:3" x14ac:dyDescent="0.15">
      <c r="C68" s="4" t="s">
        <v>43</v>
      </c>
    </row>
    <row r="69" spans="3:3" x14ac:dyDescent="0.15">
      <c r="C69" s="4" t="s">
        <v>44</v>
      </c>
    </row>
    <row r="70" spans="3:3" x14ac:dyDescent="0.15">
      <c r="C70" s="4" t="s">
        <v>45</v>
      </c>
    </row>
    <row r="71" spans="3:3" x14ac:dyDescent="0.15">
      <c r="C71" s="4" t="s">
        <v>46</v>
      </c>
    </row>
    <row r="72" spans="3:3" x14ac:dyDescent="0.15">
      <c r="C72" s="4" t="s">
        <v>38</v>
      </c>
    </row>
    <row r="73" spans="3:3" x14ac:dyDescent="0.15">
      <c r="C73" s="4" t="s">
        <v>47</v>
      </c>
    </row>
    <row r="74" spans="3:3" x14ac:dyDescent="0.15">
      <c r="C74" s="4" t="s">
        <v>48</v>
      </c>
    </row>
    <row r="75" spans="3:3" x14ac:dyDescent="0.15">
      <c r="C75" s="4" t="s">
        <v>49</v>
      </c>
    </row>
    <row r="76" spans="3:3" x14ac:dyDescent="0.15">
      <c r="C76" s="4" t="s">
        <v>50</v>
      </c>
    </row>
    <row r="77" spans="3:3" x14ac:dyDescent="0.15">
      <c r="C77" s="4" t="s">
        <v>51</v>
      </c>
    </row>
    <row r="78" spans="3:3" x14ac:dyDescent="0.15">
      <c r="C78" s="4" t="s">
        <v>52</v>
      </c>
    </row>
    <row r="79" spans="3:3" x14ac:dyDescent="0.15">
      <c r="C79" s="4" t="s">
        <v>53</v>
      </c>
    </row>
    <row r="80" spans="3:3" x14ac:dyDescent="0.15">
      <c r="C80" s="4" t="s">
        <v>54</v>
      </c>
    </row>
    <row r="81" spans="3:3" x14ac:dyDescent="0.15">
      <c r="C81" s="4" t="s">
        <v>55</v>
      </c>
    </row>
    <row r="82" spans="3:3" x14ac:dyDescent="0.15">
      <c r="C82" s="4" t="s">
        <v>56</v>
      </c>
    </row>
    <row r="83" spans="3:3" x14ac:dyDescent="0.15">
      <c r="C83" s="4" t="s">
        <v>0</v>
      </c>
    </row>
    <row r="84" spans="3:3" x14ac:dyDescent="0.15">
      <c r="C84" s="4" t="s">
        <v>40</v>
      </c>
    </row>
    <row r="85" spans="3:3" x14ac:dyDescent="0.15">
      <c r="C85" s="4" t="s">
        <v>57</v>
      </c>
    </row>
    <row r="86" spans="3:3" x14ac:dyDescent="0.15">
      <c r="C86" s="4" t="s">
        <v>2</v>
      </c>
    </row>
    <row r="87" spans="3:3" x14ac:dyDescent="0.15">
      <c r="C87" s="4" t="s">
        <v>41</v>
      </c>
    </row>
    <row r="88" spans="3:3" x14ac:dyDescent="0.15">
      <c r="C88" s="4" t="s">
        <v>42</v>
      </c>
    </row>
    <row r="89" spans="3:3" x14ac:dyDescent="0.15">
      <c r="C89" s="4" t="s">
        <v>43</v>
      </c>
    </row>
    <row r="90" spans="3:3" x14ac:dyDescent="0.15">
      <c r="C90" s="4" t="s">
        <v>44</v>
      </c>
    </row>
    <row r="91" spans="3:3" x14ac:dyDescent="0.15">
      <c r="C91" s="4" t="s">
        <v>45</v>
      </c>
    </row>
    <row r="92" spans="3:3" x14ac:dyDescent="0.15">
      <c r="C92" s="4" t="s">
        <v>46</v>
      </c>
    </row>
    <row r="93" spans="3:3" x14ac:dyDescent="0.15">
      <c r="C93" s="4" t="s">
        <v>38</v>
      </c>
    </row>
    <row r="94" spans="3:3" x14ac:dyDescent="0.15">
      <c r="C94" s="4" t="s">
        <v>47</v>
      </c>
    </row>
    <row r="95" spans="3:3" x14ac:dyDescent="0.15">
      <c r="C95" s="4" t="s">
        <v>48</v>
      </c>
    </row>
    <row r="96" spans="3:3" x14ac:dyDescent="0.15">
      <c r="C96" s="4" t="s">
        <v>49</v>
      </c>
    </row>
    <row r="97" spans="3:3" x14ac:dyDescent="0.15">
      <c r="C97" s="4" t="s">
        <v>50</v>
      </c>
    </row>
    <row r="98" spans="3:3" x14ac:dyDescent="0.15">
      <c r="C98" s="4" t="s">
        <v>51</v>
      </c>
    </row>
    <row r="99" spans="3:3" x14ac:dyDescent="0.15">
      <c r="C99" s="4" t="s">
        <v>52</v>
      </c>
    </row>
    <row r="100" spans="3:3" x14ac:dyDescent="0.15">
      <c r="C100" s="4" t="s">
        <v>53</v>
      </c>
    </row>
    <row r="101" spans="3:3" x14ac:dyDescent="0.15">
      <c r="C101" s="4" t="s">
        <v>54</v>
      </c>
    </row>
    <row r="102" spans="3:3" x14ac:dyDescent="0.15">
      <c r="C102" s="4" t="s">
        <v>55</v>
      </c>
    </row>
    <row r="103" spans="3:3" x14ac:dyDescent="0.15">
      <c r="C103" s="4" t="s">
        <v>24</v>
      </c>
    </row>
    <row r="104" spans="3:3" x14ac:dyDescent="0.15">
      <c r="C104" s="4" t="s">
        <v>23</v>
      </c>
    </row>
    <row r="105" spans="3:3" x14ac:dyDescent="0.15">
      <c r="C105" s="4" t="s">
        <v>56</v>
      </c>
    </row>
    <row r="106" spans="3:3" x14ac:dyDescent="0.15">
      <c r="C106" s="4" t="s">
        <v>58</v>
      </c>
    </row>
    <row r="107" spans="3:3" x14ac:dyDescent="0.15">
      <c r="C107" s="4" t="s">
        <v>3870</v>
      </c>
    </row>
    <row r="108" spans="3:3" x14ac:dyDescent="0.15">
      <c r="C108" s="4" t="s">
        <v>59</v>
      </c>
    </row>
    <row r="109" spans="3:3" x14ac:dyDescent="0.15">
      <c r="C109" s="4" t="s">
        <v>60</v>
      </c>
    </row>
    <row r="110" spans="3:3" x14ac:dyDescent="0.15">
      <c r="C110" s="4" t="s">
        <v>40</v>
      </c>
    </row>
    <row r="111" spans="3:3" x14ac:dyDescent="0.15">
      <c r="C111" s="4" t="s">
        <v>2</v>
      </c>
    </row>
    <row r="112" spans="3:3" x14ac:dyDescent="0.15">
      <c r="C112" s="4" t="s">
        <v>41</v>
      </c>
    </row>
    <row r="113" spans="3:3" x14ac:dyDescent="0.15">
      <c r="C113" s="4" t="s">
        <v>42</v>
      </c>
    </row>
    <row r="114" spans="3:3" x14ac:dyDescent="0.15">
      <c r="C114" s="4" t="s">
        <v>43</v>
      </c>
    </row>
    <row r="115" spans="3:3" x14ac:dyDescent="0.15">
      <c r="C115" s="4" t="s">
        <v>44</v>
      </c>
    </row>
    <row r="116" spans="3:3" x14ac:dyDescent="0.15">
      <c r="C116" s="4" t="s">
        <v>45</v>
      </c>
    </row>
    <row r="117" spans="3:3" x14ac:dyDescent="0.15">
      <c r="C117" s="4" t="s">
        <v>46</v>
      </c>
    </row>
    <row r="118" spans="3:3" x14ac:dyDescent="0.15">
      <c r="C118" s="4" t="s">
        <v>47</v>
      </c>
    </row>
    <row r="119" spans="3:3" x14ac:dyDescent="0.15">
      <c r="C119" s="4" t="s">
        <v>48</v>
      </c>
    </row>
    <row r="120" spans="3:3" x14ac:dyDescent="0.15">
      <c r="C120" s="4" t="s">
        <v>49</v>
      </c>
    </row>
    <row r="121" spans="3:3" x14ac:dyDescent="0.15">
      <c r="C121" s="4" t="s">
        <v>50</v>
      </c>
    </row>
    <row r="122" spans="3:3" x14ac:dyDescent="0.15">
      <c r="C122" s="4" t="s">
        <v>51</v>
      </c>
    </row>
    <row r="123" spans="3:3" x14ac:dyDescent="0.15">
      <c r="C123" s="4" t="s">
        <v>52</v>
      </c>
    </row>
    <row r="124" spans="3:3" x14ac:dyDescent="0.15">
      <c r="C124" s="4" t="s">
        <v>53</v>
      </c>
    </row>
    <row r="125" spans="3:3" x14ac:dyDescent="0.15">
      <c r="C125" s="4" t="s">
        <v>54</v>
      </c>
    </row>
    <row r="126" spans="3:3" x14ac:dyDescent="0.15">
      <c r="C126" s="4" t="s">
        <v>55</v>
      </c>
    </row>
    <row r="127" spans="3:3" x14ac:dyDescent="0.15">
      <c r="C127" s="4" t="s">
        <v>61</v>
      </c>
    </row>
    <row r="128" spans="3:3" x14ac:dyDescent="0.15">
      <c r="C128" s="4" t="s">
        <v>62</v>
      </c>
    </row>
    <row r="129" spans="3:8" ht="16" thickBot="1" x14ac:dyDescent="0.2">
      <c r="C129" s="4" t="s">
        <v>63</v>
      </c>
    </row>
    <row r="130" spans="3:8" ht="17" thickBot="1" x14ac:dyDescent="0.2">
      <c r="C130" s="6" t="s">
        <v>198</v>
      </c>
      <c r="D130" s="6" t="s">
        <v>64</v>
      </c>
      <c r="E130" s="7" t="s">
        <v>65</v>
      </c>
      <c r="F130" s="7" t="s">
        <v>66</v>
      </c>
      <c r="G130" s="8" t="s">
        <v>67</v>
      </c>
      <c r="H130" s="7" t="s">
        <v>68</v>
      </c>
    </row>
    <row r="131" spans="3:8" ht="18" thickTop="1" thickBot="1" x14ac:dyDescent="0.2">
      <c r="C131" s="38">
        <v>1</v>
      </c>
      <c r="D131" s="9" t="s">
        <v>3931</v>
      </c>
      <c r="E131" s="10" t="s">
        <v>46</v>
      </c>
      <c r="F131" s="11">
        <v>42437.151388888888</v>
      </c>
      <c r="G131" s="12">
        <v>2865</v>
      </c>
      <c r="H131" s="13" t="s">
        <v>69</v>
      </c>
    </row>
    <row r="132" spans="3:8" ht="17" thickBot="1" x14ac:dyDescent="0.2">
      <c r="C132" s="39">
        <v>2</v>
      </c>
      <c r="D132" s="9" t="s">
        <v>3932</v>
      </c>
      <c r="E132" s="10" t="s">
        <v>46</v>
      </c>
      <c r="F132" s="11">
        <v>42437.206944444442</v>
      </c>
      <c r="G132" s="12">
        <v>2252</v>
      </c>
      <c r="H132" s="13" t="s">
        <v>69</v>
      </c>
    </row>
    <row r="133" spans="3:8" ht="17" thickBot="1" x14ac:dyDescent="0.2">
      <c r="C133" s="39">
        <v>3</v>
      </c>
      <c r="D133" s="9" t="s">
        <v>3933</v>
      </c>
      <c r="E133" s="10" t="s">
        <v>46</v>
      </c>
      <c r="F133" s="11">
        <v>42436.622916666667</v>
      </c>
      <c r="G133" s="12">
        <v>1534</v>
      </c>
      <c r="H133" s="13" t="s">
        <v>69</v>
      </c>
    </row>
    <row r="134" spans="3:8" ht="17" thickBot="1" x14ac:dyDescent="0.2">
      <c r="C134" s="39">
        <v>4</v>
      </c>
      <c r="D134" s="9" t="s">
        <v>3934</v>
      </c>
      <c r="E134" s="10" t="s">
        <v>46</v>
      </c>
      <c r="F134" s="11">
        <v>42437.01666666667</v>
      </c>
      <c r="G134" s="12">
        <v>1266</v>
      </c>
      <c r="H134" s="13" t="s">
        <v>69</v>
      </c>
    </row>
    <row r="135" spans="3:8" ht="17" thickBot="1" x14ac:dyDescent="0.2">
      <c r="C135" s="39">
        <v>5</v>
      </c>
      <c r="D135" s="9" t="s">
        <v>3935</v>
      </c>
      <c r="E135" s="10" t="s">
        <v>46</v>
      </c>
      <c r="F135" s="11">
        <v>42437.205555555556</v>
      </c>
      <c r="G135" s="12">
        <v>1170</v>
      </c>
      <c r="H135" s="13" t="s">
        <v>69</v>
      </c>
    </row>
    <row r="136" spans="3:8" ht="17" thickBot="1" x14ac:dyDescent="0.2">
      <c r="C136" s="39">
        <v>6</v>
      </c>
      <c r="D136" s="9" t="s">
        <v>3936</v>
      </c>
      <c r="E136" s="10" t="s">
        <v>46</v>
      </c>
      <c r="F136" s="11">
        <v>42437.213888888888</v>
      </c>
      <c r="G136" s="12">
        <v>1150</v>
      </c>
      <c r="H136" s="13" t="s">
        <v>69</v>
      </c>
    </row>
    <row r="137" spans="3:8" ht="17" thickBot="1" x14ac:dyDescent="0.2">
      <c r="C137" s="39">
        <v>7</v>
      </c>
      <c r="D137" s="9" t="s">
        <v>3937</v>
      </c>
      <c r="E137" s="10" t="s">
        <v>46</v>
      </c>
      <c r="F137" s="11">
        <v>42437.151388888888</v>
      </c>
      <c r="G137" s="12">
        <v>1128</v>
      </c>
      <c r="H137" s="13" t="s">
        <v>69</v>
      </c>
    </row>
    <row r="138" spans="3:8" ht="17" thickBot="1" x14ac:dyDescent="0.2">
      <c r="C138" s="39">
        <v>8</v>
      </c>
      <c r="D138" s="9" t="s">
        <v>3938</v>
      </c>
      <c r="E138" s="10" t="s">
        <v>46</v>
      </c>
      <c r="F138" s="11">
        <v>42437.151388888888</v>
      </c>
      <c r="G138" s="12">
        <v>1104</v>
      </c>
      <c r="H138" s="13" t="s">
        <v>69</v>
      </c>
    </row>
    <row r="139" spans="3:8" ht="17" thickBot="1" x14ac:dyDescent="0.2">
      <c r="C139" s="39">
        <v>9</v>
      </c>
      <c r="D139" s="9" t="s">
        <v>3939</v>
      </c>
      <c r="E139" s="10" t="s">
        <v>46</v>
      </c>
      <c r="F139" s="11">
        <v>42436.615277777775</v>
      </c>
      <c r="G139" s="12">
        <v>1047</v>
      </c>
      <c r="H139" s="13" t="s">
        <v>69</v>
      </c>
    </row>
    <row r="140" spans="3:8" ht="17" thickBot="1" x14ac:dyDescent="0.2">
      <c r="C140" s="39">
        <v>10</v>
      </c>
      <c r="D140" s="9" t="s">
        <v>3940</v>
      </c>
      <c r="E140" s="10" t="s">
        <v>46</v>
      </c>
      <c r="F140" s="11">
        <v>42437.015972222223</v>
      </c>
      <c r="G140" s="12">
        <v>913</v>
      </c>
      <c r="H140" s="13" t="s">
        <v>69</v>
      </c>
    </row>
    <row r="141" spans="3:8" ht="17" thickBot="1" x14ac:dyDescent="0.2">
      <c r="C141" s="39">
        <v>11</v>
      </c>
      <c r="D141" s="9" t="s">
        <v>3941</v>
      </c>
      <c r="E141" s="10" t="s">
        <v>46</v>
      </c>
      <c r="F141" s="11">
        <v>42436.607638888891</v>
      </c>
      <c r="G141" s="12">
        <v>776</v>
      </c>
      <c r="H141" s="13" t="s">
        <v>69</v>
      </c>
    </row>
    <row r="142" spans="3:8" ht="17" thickBot="1" x14ac:dyDescent="0.2">
      <c r="C142" s="39">
        <v>12</v>
      </c>
      <c r="D142" s="9" t="s">
        <v>3942</v>
      </c>
      <c r="E142" s="10" t="s">
        <v>46</v>
      </c>
      <c r="F142" s="11">
        <v>42437.205555555556</v>
      </c>
      <c r="G142" s="12">
        <v>744</v>
      </c>
      <c r="H142" s="13" t="s">
        <v>69</v>
      </c>
    </row>
    <row r="143" spans="3:8" ht="17" thickBot="1" x14ac:dyDescent="0.2">
      <c r="C143" s="39">
        <v>13</v>
      </c>
      <c r="D143" s="9" t="s">
        <v>3943</v>
      </c>
      <c r="E143" s="10" t="s">
        <v>46</v>
      </c>
      <c r="F143" s="11">
        <v>42437.205555555556</v>
      </c>
      <c r="G143" s="12">
        <v>739</v>
      </c>
      <c r="H143" s="13" t="s">
        <v>69</v>
      </c>
    </row>
    <row r="144" spans="3:8" ht="17" thickBot="1" x14ac:dyDescent="0.2">
      <c r="C144" s="39">
        <v>14</v>
      </c>
      <c r="D144" s="9" t="s">
        <v>3944</v>
      </c>
      <c r="E144" s="10" t="s">
        <v>46</v>
      </c>
      <c r="F144" s="11">
        <v>42436.607638888891</v>
      </c>
      <c r="G144" s="12">
        <v>721</v>
      </c>
      <c r="H144" s="13" t="s">
        <v>69</v>
      </c>
    </row>
    <row r="145" spans="3:8" ht="17" thickBot="1" x14ac:dyDescent="0.2">
      <c r="C145" s="39">
        <v>15</v>
      </c>
      <c r="D145" s="9" t="s">
        <v>3945</v>
      </c>
      <c r="E145" s="10" t="s">
        <v>46</v>
      </c>
      <c r="F145" s="11">
        <v>42437.151388888888</v>
      </c>
      <c r="G145" s="12">
        <v>701</v>
      </c>
      <c r="H145" s="13" t="s">
        <v>69</v>
      </c>
    </row>
    <row r="146" spans="3:8" ht="17" thickBot="1" x14ac:dyDescent="0.2">
      <c r="C146" s="39">
        <v>16</v>
      </c>
      <c r="D146" s="9" t="s">
        <v>3946</v>
      </c>
      <c r="E146" s="10" t="s">
        <v>46</v>
      </c>
      <c r="F146" s="11">
        <v>42437.151388888888</v>
      </c>
      <c r="G146" s="12">
        <v>576</v>
      </c>
      <c r="H146" s="13" t="s">
        <v>69</v>
      </c>
    </row>
    <row r="147" spans="3:8" ht="17" thickBot="1" x14ac:dyDescent="0.2">
      <c r="C147" s="39">
        <v>17</v>
      </c>
      <c r="D147" s="9" t="s">
        <v>3947</v>
      </c>
      <c r="E147" s="10" t="s">
        <v>46</v>
      </c>
      <c r="F147" s="11">
        <v>42437.205555555556</v>
      </c>
      <c r="G147" s="12">
        <v>570</v>
      </c>
      <c r="H147" s="13" t="s">
        <v>69</v>
      </c>
    </row>
    <row r="148" spans="3:8" ht="17" thickBot="1" x14ac:dyDescent="0.2">
      <c r="C148" s="39">
        <v>18</v>
      </c>
      <c r="D148" s="9" t="s">
        <v>3948</v>
      </c>
      <c r="E148" s="10" t="s">
        <v>46</v>
      </c>
      <c r="F148" s="11">
        <v>42437.151388888888</v>
      </c>
      <c r="G148" s="12">
        <v>567</v>
      </c>
      <c r="H148" s="13" t="s">
        <v>69</v>
      </c>
    </row>
    <row r="149" spans="3:8" ht="17" thickBot="1" x14ac:dyDescent="0.2">
      <c r="C149" s="39">
        <v>19</v>
      </c>
      <c r="D149" s="9" t="s">
        <v>3949</v>
      </c>
      <c r="E149" s="10" t="s">
        <v>46</v>
      </c>
      <c r="F149" s="11">
        <v>42436.622916666667</v>
      </c>
      <c r="G149" s="12">
        <v>559</v>
      </c>
      <c r="H149" s="13" t="s">
        <v>69</v>
      </c>
    </row>
    <row r="150" spans="3:8" ht="17" thickBot="1" x14ac:dyDescent="0.2">
      <c r="C150" s="39">
        <v>20</v>
      </c>
      <c r="D150" s="9" t="s">
        <v>3950</v>
      </c>
      <c r="E150" s="10" t="s">
        <v>46</v>
      </c>
      <c r="F150" s="11">
        <v>42437.205555555556</v>
      </c>
      <c r="G150" s="12">
        <v>534</v>
      </c>
      <c r="H150" s="13" t="s">
        <v>69</v>
      </c>
    </row>
    <row r="151" spans="3:8" ht="17" thickBot="1" x14ac:dyDescent="0.2">
      <c r="C151" s="40">
        <v>21</v>
      </c>
      <c r="D151" s="13" t="s">
        <v>3951</v>
      </c>
      <c r="E151" s="10" t="s">
        <v>46</v>
      </c>
      <c r="F151" s="11">
        <v>42437.213888888888</v>
      </c>
      <c r="G151" s="12">
        <v>480</v>
      </c>
      <c r="H151" s="13" t="s">
        <v>69</v>
      </c>
    </row>
    <row r="152" spans="3:8" ht="17" thickBot="1" x14ac:dyDescent="0.2">
      <c r="C152" s="40">
        <v>22</v>
      </c>
      <c r="D152" s="13" t="s">
        <v>3952</v>
      </c>
      <c r="E152" s="10" t="s">
        <v>46</v>
      </c>
      <c r="F152" s="11">
        <v>42436.662499999999</v>
      </c>
      <c r="G152" s="12">
        <v>477</v>
      </c>
      <c r="H152" s="13" t="s">
        <v>69</v>
      </c>
    </row>
    <row r="153" spans="3:8" ht="17" thickBot="1" x14ac:dyDescent="0.2">
      <c r="C153" s="40">
        <v>23</v>
      </c>
      <c r="D153" s="13" t="s">
        <v>3953</v>
      </c>
      <c r="E153" s="10" t="s">
        <v>46</v>
      </c>
      <c r="F153" s="11">
        <v>42437.205555555556</v>
      </c>
      <c r="G153" s="12">
        <v>458</v>
      </c>
      <c r="H153" s="13" t="s">
        <v>69</v>
      </c>
    </row>
    <row r="154" spans="3:8" ht="17" thickBot="1" x14ac:dyDescent="0.2">
      <c r="C154" s="40">
        <v>24</v>
      </c>
      <c r="D154" s="13" t="s">
        <v>3954</v>
      </c>
      <c r="E154" s="10" t="s">
        <v>46</v>
      </c>
      <c r="F154" s="11">
        <v>42436.612500000003</v>
      </c>
      <c r="G154" s="12">
        <v>452</v>
      </c>
      <c r="H154" s="13" t="s">
        <v>69</v>
      </c>
    </row>
    <row r="155" spans="3:8" ht="17" thickBot="1" x14ac:dyDescent="0.2">
      <c r="C155" s="40">
        <v>25</v>
      </c>
      <c r="D155" s="13" t="s">
        <v>3955</v>
      </c>
      <c r="E155" s="10" t="s">
        <v>46</v>
      </c>
      <c r="F155" s="11">
        <v>42437.213888888888</v>
      </c>
      <c r="G155" s="12">
        <v>447</v>
      </c>
      <c r="H155" s="13" t="s">
        <v>69</v>
      </c>
    </row>
    <row r="156" spans="3:8" ht="17" thickBot="1" x14ac:dyDescent="0.2">
      <c r="C156" s="40">
        <v>26</v>
      </c>
      <c r="D156" s="13" t="s">
        <v>3956</v>
      </c>
      <c r="E156" s="10" t="s">
        <v>46</v>
      </c>
      <c r="F156" s="11">
        <v>42436.609027777777</v>
      </c>
      <c r="G156" s="12">
        <v>443</v>
      </c>
      <c r="H156" s="13" t="s">
        <v>69</v>
      </c>
    </row>
    <row r="157" spans="3:8" ht="17" thickBot="1" x14ac:dyDescent="0.2">
      <c r="C157" s="40">
        <v>27</v>
      </c>
      <c r="D157" s="13" t="s">
        <v>3957</v>
      </c>
      <c r="E157" s="10" t="s">
        <v>46</v>
      </c>
      <c r="F157" s="11">
        <v>42436.663194444445</v>
      </c>
      <c r="G157" s="12">
        <v>443</v>
      </c>
      <c r="H157" s="13" t="s">
        <v>69</v>
      </c>
    </row>
    <row r="158" spans="3:8" ht="17" thickBot="1" x14ac:dyDescent="0.2">
      <c r="C158" s="40">
        <v>28</v>
      </c>
      <c r="D158" s="13" t="s">
        <v>3958</v>
      </c>
      <c r="E158" s="10" t="s">
        <v>46</v>
      </c>
      <c r="F158" s="11">
        <v>42437.213888888888</v>
      </c>
      <c r="G158" s="12">
        <v>433</v>
      </c>
      <c r="H158" s="13" t="s">
        <v>69</v>
      </c>
    </row>
    <row r="159" spans="3:8" ht="17" thickBot="1" x14ac:dyDescent="0.2">
      <c r="C159" s="40">
        <v>29</v>
      </c>
      <c r="D159" s="13" t="s">
        <v>3959</v>
      </c>
      <c r="E159" s="10" t="s">
        <v>46</v>
      </c>
      <c r="F159" s="11">
        <v>42436.622916666667</v>
      </c>
      <c r="G159" s="12">
        <v>429</v>
      </c>
      <c r="H159" s="13" t="s">
        <v>69</v>
      </c>
    </row>
    <row r="160" spans="3:8" ht="17" thickBot="1" x14ac:dyDescent="0.2">
      <c r="C160" s="40">
        <v>30</v>
      </c>
      <c r="D160" s="13" t="s">
        <v>3960</v>
      </c>
      <c r="E160" s="10" t="s">
        <v>46</v>
      </c>
      <c r="F160" s="11">
        <v>42437.213888888888</v>
      </c>
      <c r="G160" s="12">
        <v>367</v>
      </c>
      <c r="H160" s="13" t="s">
        <v>69</v>
      </c>
    </row>
    <row r="161" spans="3:8" ht="17" thickBot="1" x14ac:dyDescent="0.2">
      <c r="C161" s="40">
        <v>31</v>
      </c>
      <c r="D161" s="13" t="s">
        <v>3961</v>
      </c>
      <c r="E161" s="10" t="s">
        <v>46</v>
      </c>
      <c r="F161" s="11">
        <v>42437.205555555556</v>
      </c>
      <c r="G161" s="12">
        <v>364</v>
      </c>
      <c r="H161" s="13" t="s">
        <v>69</v>
      </c>
    </row>
    <row r="162" spans="3:8" ht="17" thickBot="1" x14ac:dyDescent="0.2">
      <c r="C162" s="40">
        <v>32</v>
      </c>
      <c r="D162" s="13" t="s">
        <v>3962</v>
      </c>
      <c r="E162" s="10" t="s">
        <v>46</v>
      </c>
      <c r="F162" s="11">
        <v>42437.151388888888</v>
      </c>
      <c r="G162" s="12">
        <v>351</v>
      </c>
      <c r="H162" s="13" t="s">
        <v>69</v>
      </c>
    </row>
    <row r="163" spans="3:8" ht="17" thickBot="1" x14ac:dyDescent="0.2">
      <c r="C163" s="40">
        <v>33</v>
      </c>
      <c r="D163" s="13" t="s">
        <v>3963</v>
      </c>
      <c r="E163" s="10" t="s">
        <v>46</v>
      </c>
      <c r="F163" s="11">
        <v>42437.205555555556</v>
      </c>
      <c r="G163" s="12">
        <v>343</v>
      </c>
      <c r="H163" s="13" t="s">
        <v>69</v>
      </c>
    </row>
    <row r="164" spans="3:8" ht="17" thickBot="1" x14ac:dyDescent="0.2">
      <c r="C164" s="40">
        <v>34</v>
      </c>
      <c r="D164" s="13" t="s">
        <v>3964</v>
      </c>
      <c r="E164" s="10" t="s">
        <v>46</v>
      </c>
      <c r="F164" s="11">
        <v>42436.607638888891</v>
      </c>
      <c r="G164" s="12">
        <v>322</v>
      </c>
      <c r="H164" s="13" t="s">
        <v>69</v>
      </c>
    </row>
    <row r="165" spans="3:8" ht="17" thickBot="1" x14ac:dyDescent="0.2">
      <c r="C165" s="40">
        <v>35</v>
      </c>
      <c r="D165" s="13" t="s">
        <v>3965</v>
      </c>
      <c r="E165" s="10" t="s">
        <v>46</v>
      </c>
      <c r="F165" s="11">
        <v>42437.205555555556</v>
      </c>
      <c r="G165" s="12">
        <v>315</v>
      </c>
      <c r="H165" s="13" t="s">
        <v>69</v>
      </c>
    </row>
    <row r="166" spans="3:8" ht="17" thickBot="1" x14ac:dyDescent="0.2">
      <c r="C166" s="40">
        <v>36</v>
      </c>
      <c r="D166" s="13" t="s">
        <v>3966</v>
      </c>
      <c r="E166" s="10" t="s">
        <v>46</v>
      </c>
      <c r="F166" s="11">
        <v>42437.207638888889</v>
      </c>
      <c r="G166" s="12">
        <v>302</v>
      </c>
      <c r="H166" s="13" t="s">
        <v>69</v>
      </c>
    </row>
    <row r="167" spans="3:8" ht="17" thickBot="1" x14ac:dyDescent="0.2">
      <c r="C167" s="40">
        <v>37</v>
      </c>
      <c r="D167" s="13" t="s">
        <v>3967</v>
      </c>
      <c r="E167" s="10" t="s">
        <v>46</v>
      </c>
      <c r="F167" s="11">
        <v>42437.213888888888</v>
      </c>
      <c r="G167" s="12">
        <v>289</v>
      </c>
      <c r="H167" s="13" t="s">
        <v>69</v>
      </c>
    </row>
    <row r="168" spans="3:8" ht="17" thickBot="1" x14ac:dyDescent="0.2">
      <c r="C168" s="40">
        <v>38</v>
      </c>
      <c r="D168" s="13" t="s">
        <v>3968</v>
      </c>
      <c r="E168" s="10" t="s">
        <v>46</v>
      </c>
      <c r="F168" s="11">
        <v>42436.662499999999</v>
      </c>
      <c r="G168" s="12">
        <v>288</v>
      </c>
      <c r="H168" s="13" t="s">
        <v>69</v>
      </c>
    </row>
    <row r="169" spans="3:8" ht="17" thickBot="1" x14ac:dyDescent="0.2">
      <c r="C169" s="40">
        <v>39</v>
      </c>
      <c r="D169" s="13" t="s">
        <v>3969</v>
      </c>
      <c r="E169" s="10" t="s">
        <v>46</v>
      </c>
      <c r="F169" s="11">
        <v>42436.660416666666</v>
      </c>
      <c r="G169" s="12">
        <v>281</v>
      </c>
      <c r="H169" s="13" t="s">
        <v>69</v>
      </c>
    </row>
    <row r="170" spans="3:8" ht="17" thickBot="1" x14ac:dyDescent="0.2">
      <c r="C170" s="40">
        <v>40</v>
      </c>
      <c r="D170" s="13" t="s">
        <v>3970</v>
      </c>
      <c r="E170" s="10" t="s">
        <v>46</v>
      </c>
      <c r="F170" s="11">
        <v>42437.213888888888</v>
      </c>
      <c r="G170" s="12">
        <v>263</v>
      </c>
      <c r="H170" s="13" t="s">
        <v>69</v>
      </c>
    </row>
    <row r="171" spans="3:8" ht="17" thickBot="1" x14ac:dyDescent="0.2">
      <c r="C171" s="40">
        <v>41</v>
      </c>
      <c r="D171" s="13" t="s">
        <v>3971</v>
      </c>
      <c r="E171" s="10" t="s">
        <v>46</v>
      </c>
      <c r="F171" s="11">
        <v>42436.661805555559</v>
      </c>
      <c r="G171" s="12">
        <v>254</v>
      </c>
      <c r="H171" s="13" t="s">
        <v>69</v>
      </c>
    </row>
    <row r="172" spans="3:8" ht="17" thickBot="1" x14ac:dyDescent="0.2">
      <c r="C172" s="40">
        <v>42</v>
      </c>
      <c r="D172" s="13" t="s">
        <v>3972</v>
      </c>
      <c r="E172" s="10" t="s">
        <v>46</v>
      </c>
      <c r="F172" s="11">
        <v>42437.213888888888</v>
      </c>
      <c r="G172" s="12">
        <v>246</v>
      </c>
      <c r="H172" s="13" t="s">
        <v>69</v>
      </c>
    </row>
    <row r="173" spans="3:8" ht="17" thickBot="1" x14ac:dyDescent="0.2">
      <c r="C173" s="40">
        <v>43</v>
      </c>
      <c r="D173" s="13" t="s">
        <v>3973</v>
      </c>
      <c r="E173" s="10" t="s">
        <v>46</v>
      </c>
      <c r="F173" s="11">
        <v>42437.213888888888</v>
      </c>
      <c r="G173" s="12">
        <v>208</v>
      </c>
      <c r="H173" s="13" t="s">
        <v>69</v>
      </c>
    </row>
    <row r="174" spans="3:8" ht="17" thickBot="1" x14ac:dyDescent="0.2">
      <c r="C174" s="40">
        <v>44</v>
      </c>
      <c r="D174" s="13" t="s">
        <v>3974</v>
      </c>
      <c r="E174" s="10" t="s">
        <v>46</v>
      </c>
      <c r="F174" s="11">
        <v>42437.151388888888</v>
      </c>
      <c r="G174" s="12">
        <v>208</v>
      </c>
      <c r="H174" s="13" t="s">
        <v>69</v>
      </c>
    </row>
    <row r="175" spans="3:8" ht="17" thickBot="1" x14ac:dyDescent="0.2">
      <c r="C175" s="40">
        <v>45</v>
      </c>
      <c r="D175" s="13" t="s">
        <v>3975</v>
      </c>
      <c r="E175" s="10" t="s">
        <v>46</v>
      </c>
      <c r="F175" s="11">
        <v>42436.622916666667</v>
      </c>
      <c r="G175" s="12">
        <v>207</v>
      </c>
      <c r="H175" s="13" t="s">
        <v>69</v>
      </c>
    </row>
    <row r="176" spans="3:8" ht="17" thickBot="1" x14ac:dyDescent="0.2">
      <c r="C176" s="40">
        <v>46</v>
      </c>
      <c r="D176" s="13" t="s">
        <v>3976</v>
      </c>
      <c r="E176" s="10" t="s">
        <v>46</v>
      </c>
      <c r="F176" s="11">
        <v>42436.661805555559</v>
      </c>
      <c r="G176" s="12">
        <v>200</v>
      </c>
      <c r="H176" s="13" t="s">
        <v>69</v>
      </c>
    </row>
    <row r="177" spans="3:8" ht="17" thickBot="1" x14ac:dyDescent="0.2">
      <c r="C177" s="40">
        <v>47</v>
      </c>
      <c r="D177" s="13" t="s">
        <v>3977</v>
      </c>
      <c r="E177" s="10" t="s">
        <v>46</v>
      </c>
      <c r="F177" s="11">
        <v>42436.644444444442</v>
      </c>
      <c r="G177" s="12">
        <v>198</v>
      </c>
      <c r="H177" s="13" t="s">
        <v>69</v>
      </c>
    </row>
    <row r="178" spans="3:8" ht="17" thickBot="1" x14ac:dyDescent="0.2">
      <c r="C178" s="40">
        <v>48</v>
      </c>
      <c r="D178" s="13" t="s">
        <v>3978</v>
      </c>
      <c r="E178" s="10" t="s">
        <v>46</v>
      </c>
      <c r="F178" s="11">
        <v>42437.213888888888</v>
      </c>
      <c r="G178" s="12">
        <v>197</v>
      </c>
      <c r="H178" s="13" t="s">
        <v>69</v>
      </c>
    </row>
    <row r="179" spans="3:8" ht="17" thickBot="1" x14ac:dyDescent="0.2">
      <c r="C179" s="40">
        <v>49</v>
      </c>
      <c r="D179" s="13" t="s">
        <v>3979</v>
      </c>
      <c r="E179" s="10" t="s">
        <v>46</v>
      </c>
      <c r="F179" s="11">
        <v>42437.205555555556</v>
      </c>
      <c r="G179" s="12">
        <v>197</v>
      </c>
      <c r="H179" s="13" t="s">
        <v>69</v>
      </c>
    </row>
    <row r="180" spans="3:8" ht="17" thickBot="1" x14ac:dyDescent="0.2">
      <c r="C180" s="40">
        <v>50</v>
      </c>
      <c r="D180" s="13" t="s">
        <v>3980</v>
      </c>
      <c r="E180" s="10" t="s">
        <v>46</v>
      </c>
      <c r="F180" s="11">
        <v>42437.213888888888</v>
      </c>
      <c r="G180" s="12">
        <v>187</v>
      </c>
      <c r="H180" s="13" t="s">
        <v>69</v>
      </c>
    </row>
    <row r="181" spans="3:8" ht="17" thickBot="1" x14ac:dyDescent="0.2">
      <c r="C181" s="40">
        <v>51</v>
      </c>
      <c r="D181" s="13" t="s">
        <v>3981</v>
      </c>
      <c r="E181" s="10" t="s">
        <v>46</v>
      </c>
      <c r="F181" s="11">
        <v>42436.611805555556</v>
      </c>
      <c r="G181" s="12">
        <v>176</v>
      </c>
      <c r="H181" s="13" t="s">
        <v>69</v>
      </c>
    </row>
    <row r="182" spans="3:8" ht="17" thickBot="1" x14ac:dyDescent="0.2">
      <c r="C182" s="40">
        <v>52</v>
      </c>
      <c r="D182" s="13" t="s">
        <v>3982</v>
      </c>
      <c r="E182" s="10" t="s">
        <v>46</v>
      </c>
      <c r="F182" s="11">
        <v>42437.213888888888</v>
      </c>
      <c r="G182" s="12">
        <v>173</v>
      </c>
      <c r="H182" s="13" t="s">
        <v>69</v>
      </c>
    </row>
    <row r="183" spans="3:8" ht="17" thickBot="1" x14ac:dyDescent="0.2">
      <c r="C183" s="40">
        <v>53</v>
      </c>
      <c r="D183" s="13" t="s">
        <v>3983</v>
      </c>
      <c r="E183" s="10" t="s">
        <v>46</v>
      </c>
      <c r="F183" s="11">
        <v>42436.644444444442</v>
      </c>
      <c r="G183" s="12">
        <v>171</v>
      </c>
      <c r="H183" s="13" t="s">
        <v>69</v>
      </c>
    </row>
    <row r="184" spans="3:8" ht="17" thickBot="1" x14ac:dyDescent="0.2">
      <c r="C184" s="40">
        <v>54</v>
      </c>
      <c r="D184" s="13" t="s">
        <v>3984</v>
      </c>
      <c r="E184" s="10" t="s">
        <v>46</v>
      </c>
      <c r="F184" s="11">
        <v>42437.213888888888</v>
      </c>
      <c r="G184" s="12">
        <v>163</v>
      </c>
      <c r="H184" s="13" t="s">
        <v>69</v>
      </c>
    </row>
    <row r="185" spans="3:8" ht="17" thickBot="1" x14ac:dyDescent="0.2">
      <c r="C185" s="40">
        <v>55</v>
      </c>
      <c r="D185" s="13" t="s">
        <v>3985</v>
      </c>
      <c r="E185" s="10" t="s">
        <v>46</v>
      </c>
      <c r="F185" s="11">
        <v>42436.644444444442</v>
      </c>
      <c r="G185" s="12">
        <v>153</v>
      </c>
      <c r="H185" s="13" t="s">
        <v>69</v>
      </c>
    </row>
    <row r="186" spans="3:8" ht="17" thickBot="1" x14ac:dyDescent="0.2">
      <c r="C186" s="40">
        <v>56</v>
      </c>
      <c r="D186" s="13" t="s">
        <v>3986</v>
      </c>
      <c r="E186" s="10" t="s">
        <v>46</v>
      </c>
      <c r="F186" s="11">
        <v>42437.213888888888</v>
      </c>
      <c r="G186" s="12">
        <v>148</v>
      </c>
      <c r="H186" s="13" t="s">
        <v>69</v>
      </c>
    </row>
    <row r="187" spans="3:8" ht="17" thickBot="1" x14ac:dyDescent="0.2">
      <c r="C187" s="40">
        <v>57</v>
      </c>
      <c r="D187" s="13" t="s">
        <v>3987</v>
      </c>
      <c r="E187" s="10" t="s">
        <v>46</v>
      </c>
      <c r="F187" s="11">
        <v>42437.213888888888</v>
      </c>
      <c r="G187" s="12">
        <v>147</v>
      </c>
      <c r="H187" s="13" t="s">
        <v>69</v>
      </c>
    </row>
    <row r="188" spans="3:8" ht="17" thickBot="1" x14ac:dyDescent="0.2">
      <c r="C188" s="40">
        <v>58</v>
      </c>
      <c r="D188" s="13" t="s">
        <v>3988</v>
      </c>
      <c r="E188" s="10" t="s">
        <v>46</v>
      </c>
      <c r="F188" s="11">
        <v>42437.205555555556</v>
      </c>
      <c r="G188" s="12">
        <v>145</v>
      </c>
      <c r="H188" s="13" t="s">
        <v>69</v>
      </c>
    </row>
    <row r="189" spans="3:8" ht="17" thickBot="1" x14ac:dyDescent="0.2">
      <c r="C189" s="40">
        <v>59</v>
      </c>
      <c r="D189" s="13" t="s">
        <v>3989</v>
      </c>
      <c r="E189" s="10" t="s">
        <v>46</v>
      </c>
      <c r="F189" s="11">
        <v>42437.213888888888</v>
      </c>
      <c r="G189" s="12">
        <v>145</v>
      </c>
      <c r="H189" s="13" t="s">
        <v>69</v>
      </c>
    </row>
    <row r="190" spans="3:8" ht="17" thickBot="1" x14ac:dyDescent="0.2">
      <c r="C190" s="40">
        <v>60</v>
      </c>
      <c r="D190" s="13" t="s">
        <v>3990</v>
      </c>
      <c r="E190" s="10" t="s">
        <v>46</v>
      </c>
      <c r="F190" s="11">
        <v>42437.205555555556</v>
      </c>
      <c r="G190" s="12">
        <v>132</v>
      </c>
      <c r="H190" s="13" t="s">
        <v>69</v>
      </c>
    </row>
    <row r="191" spans="3:8" ht="16" thickBot="1" x14ac:dyDescent="0.2">
      <c r="C191" s="48" t="s">
        <v>3445</v>
      </c>
    </row>
    <row r="192" spans="3:8" x14ac:dyDescent="0.15">
      <c r="C192" s="41" t="s">
        <v>3444</v>
      </c>
    </row>
    <row r="193" spans="3:3" x14ac:dyDescent="0.15">
      <c r="C193" s="42" t="s">
        <v>70</v>
      </c>
    </row>
    <row r="194" spans="3:3" x14ac:dyDescent="0.15">
      <c r="C194" s="4" t="s">
        <v>71</v>
      </c>
    </row>
    <row r="195" spans="3:3" x14ac:dyDescent="0.15">
      <c r="C195" s="4" t="s">
        <v>72</v>
      </c>
    </row>
    <row r="196" spans="3:3" x14ac:dyDescent="0.15">
      <c r="C196" s="4" t="s">
        <v>73</v>
      </c>
    </row>
    <row r="197" spans="3:3" x14ac:dyDescent="0.15">
      <c r="C197" s="43" t="s">
        <v>74</v>
      </c>
    </row>
    <row r="198" spans="3:3" x14ac:dyDescent="0.15">
      <c r="C198" s="44" t="s">
        <v>75</v>
      </c>
    </row>
    <row r="199" spans="3:3" x14ac:dyDescent="0.15">
      <c r="C199" s="14" t="s">
        <v>40</v>
      </c>
    </row>
    <row r="200" spans="3:3" x14ac:dyDescent="0.15">
      <c r="C200" s="14" t="s">
        <v>2</v>
      </c>
    </row>
    <row r="201" spans="3:3" x14ac:dyDescent="0.15">
      <c r="C201" s="14" t="s">
        <v>44</v>
      </c>
    </row>
    <row r="202" spans="3:3" x14ac:dyDescent="0.15">
      <c r="C202" s="14" t="s">
        <v>50</v>
      </c>
    </row>
    <row r="203" spans="3:3" x14ac:dyDescent="0.15">
      <c r="C203" s="14" t="s">
        <v>51</v>
      </c>
    </row>
    <row r="204" spans="3:3" x14ac:dyDescent="0.15">
      <c r="C204" s="14" t="s">
        <v>43</v>
      </c>
    </row>
    <row r="205" spans="3:3" x14ac:dyDescent="0.15">
      <c r="C205" s="14" t="s">
        <v>49</v>
      </c>
    </row>
    <row r="206" spans="3:3" x14ac:dyDescent="0.15">
      <c r="C206" s="14" t="s">
        <v>45</v>
      </c>
    </row>
    <row r="207" spans="3:3" x14ac:dyDescent="0.15">
      <c r="C207" s="14" t="s">
        <v>46</v>
      </c>
    </row>
    <row r="208" spans="3:3" x14ac:dyDescent="0.15">
      <c r="C208" s="14" t="s">
        <v>42</v>
      </c>
    </row>
    <row r="209" spans="3:3" x14ac:dyDescent="0.15">
      <c r="C209" s="14" t="s">
        <v>52</v>
      </c>
    </row>
    <row r="210" spans="3:3" x14ac:dyDescent="0.15">
      <c r="C210" s="14" t="s">
        <v>41</v>
      </c>
    </row>
    <row r="211" spans="3:3" x14ac:dyDescent="0.15">
      <c r="C211" s="14" t="s">
        <v>47</v>
      </c>
    </row>
    <row r="212" spans="3:3" x14ac:dyDescent="0.15">
      <c r="C212" s="14" t="s">
        <v>48</v>
      </c>
    </row>
    <row r="213" spans="3:3" x14ac:dyDescent="0.15">
      <c r="C213" s="14" t="s">
        <v>53</v>
      </c>
    </row>
    <row r="214" spans="3:3" x14ac:dyDescent="0.15">
      <c r="C214" s="14" t="s">
        <v>54</v>
      </c>
    </row>
    <row r="215" spans="3:3" x14ac:dyDescent="0.15">
      <c r="C215" s="14" t="s">
        <v>55</v>
      </c>
    </row>
    <row r="216" spans="3:3" x14ac:dyDescent="0.15">
      <c r="C216" s="14" t="s">
        <v>76</v>
      </c>
    </row>
    <row r="217" spans="3:3" x14ac:dyDescent="0.15">
      <c r="C217" s="44" t="s">
        <v>49</v>
      </c>
    </row>
    <row r="218" spans="3:3" x14ac:dyDescent="0.15">
      <c r="C218" s="14" t="s">
        <v>77</v>
      </c>
    </row>
    <row r="219" spans="3:3" x14ac:dyDescent="0.15">
      <c r="C219" s="14" t="s">
        <v>17</v>
      </c>
    </row>
    <row r="220" spans="3:3" x14ac:dyDescent="0.15">
      <c r="C220" s="14" t="s">
        <v>78</v>
      </c>
    </row>
    <row r="221" spans="3:3" x14ac:dyDescent="0.15">
      <c r="C221" s="44" t="s">
        <v>79</v>
      </c>
    </row>
    <row r="222" spans="3:3" x14ac:dyDescent="0.15">
      <c r="C222" s="14" t="s">
        <v>80</v>
      </c>
    </row>
    <row r="223" spans="3:3" x14ac:dyDescent="0.15">
      <c r="C223" s="14" t="s">
        <v>57</v>
      </c>
    </row>
    <row r="224" spans="3:3" x14ac:dyDescent="0.15">
      <c r="C224" s="14" t="s">
        <v>81</v>
      </c>
    </row>
    <row r="225" spans="3:3" x14ac:dyDescent="0.15">
      <c r="C225" s="44" t="s">
        <v>82</v>
      </c>
    </row>
    <row r="226" spans="3:3" x14ac:dyDescent="0.15">
      <c r="C226" s="14" t="s">
        <v>83</v>
      </c>
    </row>
    <row r="227" spans="3:3" x14ac:dyDescent="0.15">
      <c r="C227" s="14" t="s">
        <v>84</v>
      </c>
    </row>
    <row r="228" spans="3:3" x14ac:dyDescent="0.15">
      <c r="C228" s="14" t="s">
        <v>85</v>
      </c>
    </row>
    <row r="229" spans="3:3" x14ac:dyDescent="0.15">
      <c r="C229" s="14" t="s">
        <v>86</v>
      </c>
    </row>
    <row r="230" spans="3:3" x14ac:dyDescent="0.15">
      <c r="C230" s="14" t="s">
        <v>87</v>
      </c>
    </row>
    <row r="231" spans="3:3" x14ac:dyDescent="0.15">
      <c r="C231" s="14" t="s">
        <v>88</v>
      </c>
    </row>
    <row r="232" spans="3:3" x14ac:dyDescent="0.15">
      <c r="C232" s="44" t="s">
        <v>89</v>
      </c>
    </row>
    <row r="233" spans="3:3" x14ac:dyDescent="0.15">
      <c r="C233" s="14" t="s">
        <v>46</v>
      </c>
    </row>
    <row r="234" spans="3:3" x14ac:dyDescent="0.15">
      <c r="C234" s="14" t="s">
        <v>90</v>
      </c>
    </row>
    <row r="235" spans="3:3" x14ac:dyDescent="0.15">
      <c r="C235" s="14" t="s">
        <v>19</v>
      </c>
    </row>
    <row r="236" spans="3:3" x14ac:dyDescent="0.15">
      <c r="C236" s="14" t="s">
        <v>20</v>
      </c>
    </row>
    <row r="237" spans="3:3" x14ac:dyDescent="0.15">
      <c r="C237" s="14" t="s">
        <v>91</v>
      </c>
    </row>
    <row r="238" spans="3:3" x14ac:dyDescent="0.15">
      <c r="C238" s="14" t="s">
        <v>92</v>
      </c>
    </row>
    <row r="239" spans="3:3" x14ac:dyDescent="0.15">
      <c r="C239" s="14" t="s">
        <v>28</v>
      </c>
    </row>
    <row r="240" spans="3:3" x14ac:dyDescent="0.15">
      <c r="C240" s="44" t="s">
        <v>39</v>
      </c>
    </row>
    <row r="241" spans="3:3" x14ac:dyDescent="0.15">
      <c r="C241" s="14" t="s">
        <v>93</v>
      </c>
    </row>
    <row r="242" spans="3:3" x14ac:dyDescent="0.15">
      <c r="C242" s="14" t="s">
        <v>94</v>
      </c>
    </row>
    <row r="243" spans="3:3" x14ac:dyDescent="0.15">
      <c r="C243" s="14" t="s">
        <v>36</v>
      </c>
    </row>
    <row r="244" spans="3:3" x14ac:dyDescent="0.15">
      <c r="C244" s="14" t="s">
        <v>95</v>
      </c>
    </row>
    <row r="245" spans="3:3" x14ac:dyDescent="0.15">
      <c r="C245" s="14" t="s">
        <v>96</v>
      </c>
    </row>
    <row r="246" spans="3:3" x14ac:dyDescent="0.15">
      <c r="C246" s="14" t="s">
        <v>97</v>
      </c>
    </row>
    <row r="247" spans="3:3" x14ac:dyDescent="0.15">
      <c r="C247" s="14" t="s">
        <v>98</v>
      </c>
    </row>
    <row r="248" spans="3:3" x14ac:dyDescent="0.15">
      <c r="C248" s="14" t="s">
        <v>99</v>
      </c>
    </row>
    <row r="249" spans="3:3" x14ac:dyDescent="0.15">
      <c r="C249" s="44" t="s">
        <v>14</v>
      </c>
    </row>
    <row r="250" spans="3:3" x14ac:dyDescent="0.15">
      <c r="C250" s="14" t="s">
        <v>100</v>
      </c>
    </row>
    <row r="251" spans="3:3" x14ac:dyDescent="0.15">
      <c r="C251" s="14" t="s">
        <v>101</v>
      </c>
    </row>
    <row r="252" spans="3:3" x14ac:dyDescent="0.15">
      <c r="C252" s="14" t="s">
        <v>102</v>
      </c>
    </row>
    <row r="253" spans="3:3" x14ac:dyDescent="0.15">
      <c r="C253" s="14" t="s">
        <v>103</v>
      </c>
    </row>
    <row r="254" spans="3:3" x14ac:dyDescent="0.15">
      <c r="C254" s="14" t="s">
        <v>104</v>
      </c>
    </row>
    <row r="255" spans="3:3" x14ac:dyDescent="0.15">
      <c r="C255" s="14" t="s">
        <v>105</v>
      </c>
    </row>
    <row r="256" spans="3:3" x14ac:dyDescent="0.15">
      <c r="C256" s="44" t="s">
        <v>106</v>
      </c>
    </row>
    <row r="257" spans="3:3" x14ac:dyDescent="0.15">
      <c r="C257" s="14" t="s">
        <v>107</v>
      </c>
    </row>
    <row r="258" spans="3:3" x14ac:dyDescent="0.15">
      <c r="C258" s="14" t="s">
        <v>108</v>
      </c>
    </row>
    <row r="259" spans="3:3" x14ac:dyDescent="0.15">
      <c r="C259" s="14" t="s">
        <v>109</v>
      </c>
    </row>
    <row r="260" spans="3:3" x14ac:dyDescent="0.15">
      <c r="C260" s="14" t="s">
        <v>110</v>
      </c>
    </row>
    <row r="261" spans="3:3" x14ac:dyDescent="0.15">
      <c r="C261" s="14" t="s">
        <v>111</v>
      </c>
    </row>
    <row r="262" spans="3:3" x14ac:dyDescent="0.15">
      <c r="C262" s="44" t="s">
        <v>112</v>
      </c>
    </row>
    <row r="263" spans="3:3" x14ac:dyDescent="0.15">
      <c r="C263" s="14" t="s">
        <v>113</v>
      </c>
    </row>
    <row r="264" spans="3:3" x14ac:dyDescent="0.15">
      <c r="C264" s="14" t="s">
        <v>114</v>
      </c>
    </row>
    <row r="265" spans="3:3" x14ac:dyDescent="0.15">
      <c r="C265" s="14" t="s">
        <v>115</v>
      </c>
    </row>
    <row r="266" spans="3:3" x14ac:dyDescent="0.15">
      <c r="C266" s="14" t="s">
        <v>116</v>
      </c>
    </row>
    <row r="267" spans="3:3" x14ac:dyDescent="0.15">
      <c r="C267" s="14" t="s">
        <v>117</v>
      </c>
    </row>
    <row r="268" spans="3:3" x14ac:dyDescent="0.15">
      <c r="C268" s="14" t="s">
        <v>118</v>
      </c>
    </row>
    <row r="269" spans="3:3" x14ac:dyDescent="0.15">
      <c r="C269" s="44" t="s">
        <v>119</v>
      </c>
    </row>
    <row r="270" spans="3:3" x14ac:dyDescent="0.15">
      <c r="C270" s="14" t="s">
        <v>120</v>
      </c>
    </row>
    <row r="271" spans="3:3" x14ac:dyDescent="0.15">
      <c r="C271" s="14" t="s">
        <v>121</v>
      </c>
    </row>
    <row r="272" spans="3:3" x14ac:dyDescent="0.15">
      <c r="C272" s="14" t="s">
        <v>122</v>
      </c>
    </row>
    <row r="273" spans="3:3" x14ac:dyDescent="0.15">
      <c r="C273" s="14" t="s">
        <v>30</v>
      </c>
    </row>
    <row r="274" spans="3:3" x14ac:dyDescent="0.15">
      <c r="C274" s="44" t="s">
        <v>123</v>
      </c>
    </row>
    <row r="275" spans="3:3" x14ac:dyDescent="0.15">
      <c r="C275" s="14" t="s">
        <v>34</v>
      </c>
    </row>
    <row r="276" spans="3:3" x14ac:dyDescent="0.15">
      <c r="C276" s="14" t="s">
        <v>124</v>
      </c>
    </row>
    <row r="277" spans="3:3" x14ac:dyDescent="0.15">
      <c r="C277" s="14" t="s">
        <v>125</v>
      </c>
    </row>
    <row r="278" spans="3:3" x14ac:dyDescent="0.15">
      <c r="C278" s="14" t="s">
        <v>126</v>
      </c>
    </row>
    <row r="279" spans="3:3" x14ac:dyDescent="0.15">
      <c r="C279" s="44" t="s">
        <v>33</v>
      </c>
    </row>
    <row r="280" spans="3:3" x14ac:dyDescent="0.15">
      <c r="C280" s="14" t="s">
        <v>127</v>
      </c>
    </row>
    <row r="281" spans="3:3" x14ac:dyDescent="0.15">
      <c r="C281" s="14" t="s">
        <v>128</v>
      </c>
    </row>
    <row r="282" spans="3:3" x14ac:dyDescent="0.15">
      <c r="C282" s="14" t="s">
        <v>129</v>
      </c>
    </row>
    <row r="283" spans="3:3" x14ac:dyDescent="0.15">
      <c r="C283" s="14" t="s">
        <v>130</v>
      </c>
    </row>
    <row r="284" spans="3:3" x14ac:dyDescent="0.15">
      <c r="C284" s="14" t="s">
        <v>131</v>
      </c>
    </row>
    <row r="285" spans="3:3" x14ac:dyDescent="0.15">
      <c r="C285" s="44" t="s">
        <v>132</v>
      </c>
    </row>
    <row r="286" spans="3:3" x14ac:dyDescent="0.15">
      <c r="C286" s="14" t="s">
        <v>3441</v>
      </c>
    </row>
    <row r="287" spans="3:3" x14ac:dyDescent="0.15">
      <c r="C287" s="14" t="s">
        <v>133</v>
      </c>
    </row>
    <row r="288" spans="3:3" x14ac:dyDescent="0.15">
      <c r="C288" s="14" t="s">
        <v>134</v>
      </c>
    </row>
    <row r="289" spans="3:3" x14ac:dyDescent="0.15">
      <c r="C289" s="14" t="s">
        <v>135</v>
      </c>
    </row>
    <row r="290" spans="3:3" x14ac:dyDescent="0.15">
      <c r="C290" s="14" t="s">
        <v>37</v>
      </c>
    </row>
    <row r="291" spans="3:3" x14ac:dyDescent="0.15">
      <c r="C291" s="45" t="s">
        <v>136</v>
      </c>
    </row>
    <row r="292" spans="3:3" x14ac:dyDescent="0.15">
      <c r="C292" s="46" t="s">
        <v>137</v>
      </c>
    </row>
    <row r="293" spans="3:3" x14ac:dyDescent="0.15">
      <c r="C293" s="4" t="s">
        <v>10</v>
      </c>
    </row>
    <row r="294" spans="3:3" x14ac:dyDescent="0.15">
      <c r="C294" s="2" t="s">
        <v>138</v>
      </c>
    </row>
    <row r="295" spans="3:3" x14ac:dyDescent="0.15">
      <c r="C295" s="2" t="s">
        <v>139</v>
      </c>
    </row>
    <row r="296" spans="3:3" x14ac:dyDescent="0.15">
      <c r="C296" s="2" t="s">
        <v>15</v>
      </c>
    </row>
    <row r="297" spans="3:3" x14ac:dyDescent="0.15">
      <c r="C297" s="2" t="s">
        <v>39</v>
      </c>
    </row>
    <row r="298" spans="3:3" x14ac:dyDescent="0.15">
      <c r="C298" s="2" t="s">
        <v>140</v>
      </c>
    </row>
    <row r="299" spans="3:3" x14ac:dyDescent="0.15">
      <c r="C299" s="2" t="s">
        <v>141</v>
      </c>
    </row>
    <row r="300" spans="3:3" x14ac:dyDescent="0.15">
      <c r="C300" s="2" t="s">
        <v>142</v>
      </c>
    </row>
    <row r="301" spans="3:3" x14ac:dyDescent="0.15">
      <c r="C301" s="2" t="s">
        <v>143</v>
      </c>
    </row>
    <row r="302" spans="3:3" x14ac:dyDescent="0.15">
      <c r="C302" s="2" t="s">
        <v>17</v>
      </c>
    </row>
    <row r="303" spans="3:3" x14ac:dyDescent="0.15">
      <c r="C303" s="2" t="s">
        <v>77</v>
      </c>
    </row>
    <row r="304" spans="3:3" x14ac:dyDescent="0.15">
      <c r="C304" s="2" t="s">
        <v>144</v>
      </c>
    </row>
    <row r="305" spans="3:3" x14ac:dyDescent="0.15">
      <c r="C305" s="2" t="s">
        <v>145</v>
      </c>
    </row>
    <row r="306" spans="3:3" x14ac:dyDescent="0.15">
      <c r="C306" s="2" t="s">
        <v>146</v>
      </c>
    </row>
    <row r="307" spans="3:3" x14ac:dyDescent="0.15">
      <c r="C307" s="2" t="s">
        <v>147</v>
      </c>
    </row>
    <row r="308" spans="3:3" x14ac:dyDescent="0.15">
      <c r="C308" s="2" t="s">
        <v>148</v>
      </c>
    </row>
    <row r="309" spans="3:3" x14ac:dyDescent="0.15">
      <c r="C309" s="2" t="s">
        <v>19</v>
      </c>
    </row>
    <row r="310" spans="3:3" x14ac:dyDescent="0.15">
      <c r="C310" s="2" t="s">
        <v>149</v>
      </c>
    </row>
    <row r="311" spans="3:3" x14ac:dyDescent="0.15">
      <c r="C311" s="2" t="s">
        <v>150</v>
      </c>
    </row>
    <row r="312" spans="3:3" x14ac:dyDescent="0.15">
      <c r="C312" s="2" t="s">
        <v>151</v>
      </c>
    </row>
    <row r="313" spans="3:3" x14ac:dyDescent="0.15">
      <c r="C313" s="2" t="s">
        <v>152</v>
      </c>
    </row>
    <row r="314" spans="3:3" x14ac:dyDescent="0.15">
      <c r="C314" s="2" t="s">
        <v>153</v>
      </c>
    </row>
    <row r="315" spans="3:3" x14ac:dyDescent="0.15">
      <c r="C315" s="2" t="s">
        <v>154</v>
      </c>
    </row>
  </sheetData>
  <phoneticPr fontId="1" type="noConversion"/>
  <hyperlinks>
    <hyperlink ref="C2" r:id="rId1" display="http://shopping.udn.com/mall/Cc1a00.do?sid=91_udn&amp;utm_source=udn.com&amp;utm_medium=referral_familybar_udn&amp;utm_term=familybar_udn&amp;utm_campaign=20150103_UDN"/>
    <hyperlink ref="C3" r:id="rId2" display="http://shopping.udn.com/mall/cus/gbr/Cc1g00.do?sid=91_uD&amp;utm_source=udn.com&amp;utm_medium=referral_familybar_uD&amp;utm_term=familybar_uD&amp;utm_campaign=20150103_UDN"/>
    <hyperlink ref="C4" r:id="rId3" display="http://nba.udn.com/"/>
    <hyperlink ref="C5" r:id="rId4" display="http://stars.udn.com/"/>
    <hyperlink ref="C6" r:id="rId5" display="http://health.udn.com/"/>
    <hyperlink ref="C7" r:id="rId6" display="http://vote2016.udn.com/vote2016/"/>
    <hyperlink ref="C8" r:id="rId7" display="http://opinion.udn.com/"/>
    <hyperlink ref="C9" r:id="rId8" display="http://global.udn.com/"/>
    <hyperlink ref="C10" r:id="rId9" display="http://fund.udn.com/"/>
    <hyperlink ref="C11" r:id="rId10" display="http://house.udn.com/"/>
    <hyperlink ref="C12" r:id="rId11" display="http://reading.udn.com/"/>
    <hyperlink ref="C13" r:id="rId12" display="http://novel.udn.com/"/>
    <hyperlink ref="C14" r:id="rId13" display="http://autos.udn.com/"/>
    <hyperlink ref="C15" r:id="rId14" display="http://style.udn.com/"/>
    <hyperlink ref="C16" r:id="rId15" display="javascript:void(0);"/>
    <hyperlink ref="C17" r:id="rId16" display="http://vote2016.udn.com/vote2016/"/>
    <hyperlink ref="C18" r:id="rId17" display="http://opinion.udn.com/"/>
    <hyperlink ref="C19" r:id="rId18" display="http://global.udn.com/"/>
    <hyperlink ref="C20" r:id="rId19" display="http://fund.udn.com/"/>
    <hyperlink ref="C21" r:id="rId20" display="http://house.udn.com/"/>
    <hyperlink ref="C22" r:id="rId21" display="http://reading.udn.com/"/>
    <hyperlink ref="C23" r:id="rId22" display="http://novel.udn.com/"/>
    <hyperlink ref="C24" r:id="rId23" display="http://autos.udn.com/"/>
    <hyperlink ref="C25" r:id="rId24" display="http://style.udn.com/"/>
    <hyperlink ref="C26" r:id="rId25" display="http://theme.udn.com/"/>
    <hyperlink ref="C27" r:id="rId26" display="http://vision.udn.com/"/>
    <hyperlink ref="C28" r:id="rId27" display="http://money.udn.com/"/>
    <hyperlink ref="C29" r:id="rId28" display="http://www.cens.com/cens/html/zh/"/>
    <hyperlink ref="C30" r:id="rId29" display="http://oops.udn.com/"/>
    <hyperlink ref="C31" r:id="rId30" display="http://blog.udn.com/"/>
    <hyperlink ref="C32" r:id="rId31" display="http://utravel.udn.com/"/>
    <hyperlink ref="C33" r:id="rId32" display="http://metrojoker.com/upaper"/>
    <hyperlink ref="C34" r:id="rId33" display="http://udndata.com/"/>
    <hyperlink ref="C35" r:id="rId34" display="http://paper.udn.com/"/>
    <hyperlink ref="C36" r:id="rId35" display="https://tickets.udn.com/"/>
    <hyperlink ref="C37" r:id="rId36" display="http://video.udn.com/"/>
    <hyperlink ref="C38" r:id="rId37" display="http://ugood.udn.com/"/>
    <hyperlink ref="C40" r:id="rId38" display="http://vision.udn.com/"/>
    <hyperlink ref="C41" r:id="rId39" display="http://money.udn.com/"/>
    <hyperlink ref="C42" r:id="rId40" display="http://fund.udn.com/"/>
    <hyperlink ref="C43" r:id="rId41" display="http://www.cens.com/cens/html/zh/"/>
    <hyperlink ref="C44" r:id="rId42" display="http://health.udn.com/"/>
    <hyperlink ref="C45" r:id="rId43" display="http://autos.udn.com/"/>
    <hyperlink ref="C46" r:id="rId44" display="http://style.udn.com/"/>
    <hyperlink ref="C47" r:id="rId45" display="http://nba.udn.com/"/>
    <hyperlink ref="C48" r:id="rId46" display="http://stars.udn.com/"/>
    <hyperlink ref="C49" r:id="rId47" display="http://blog.udn.com/"/>
    <hyperlink ref="C50" r:id="rId48" display="http://utravel.udn.com/"/>
    <hyperlink ref="C51" r:id="rId49" display="http://metrojoker.com/upaper"/>
    <hyperlink ref="C52" r:id="rId50" display="http://reading.udn.com/"/>
    <hyperlink ref="C53" r:id="rId51" display="http://novel.udn.com/"/>
    <hyperlink ref="C54" r:id="rId52" display="http://house.udn.com/"/>
    <hyperlink ref="C55" r:id="rId53" display="http://udndata.com/"/>
    <hyperlink ref="C56" r:id="rId54" display="http://paper.udn.com/"/>
    <hyperlink ref="C57" r:id="rId55" display="https://tickets.udn.com/"/>
    <hyperlink ref="C58" r:id="rId56" display="http://shopping.udn.com/mall/Cc1a00.do?sid=91_udn&amp;utm_source=udn.com&amp;utm_medium=referral_familybar_udn&amp;utm_term=familybar_udn&amp;utm_campaign=20150103_UDN"/>
    <hyperlink ref="C59" r:id="rId57" display="http://shopping.udn.com/mall/cus/gbr/Cc1g00.do?sid=91_uD&amp;utm_source=udn.com&amp;utm_medium=referral_familybar_uD&amp;utm_term=familybar_uD&amp;utm_campaign=20150103_UDN"/>
    <hyperlink ref="C60" r:id="rId58" display="http://video.udn.com/"/>
    <hyperlink ref="C61" r:id="rId59" display="http://ugood.udn.com/"/>
    <hyperlink ref="C63" r:id="rId60" tooltip="回聯合新聞網首頁" display="http://udn.com/"/>
    <hyperlink ref="C64" r:id="rId61" display="http://udn.com/news/breaknews/1"/>
    <hyperlink ref="C65" r:id="rId62" display="http://udn.com/news/cate/6638"/>
    <hyperlink ref="C66" r:id="rId63" display="http://udn.com/news/cate/6648"/>
    <hyperlink ref="C67" r:id="rId64" display="http://udn.com/news/cate/7227"/>
    <hyperlink ref="C68" r:id="rId65" display="http://udn.com/news/cate/7225"/>
    <hyperlink ref="C69" r:id="rId66" display="http://udn.com/news/cate/6639"/>
    <hyperlink ref="C70" r:id="rId67" display="http://udn.com/news/cate/6644"/>
    <hyperlink ref="C71" r:id="rId68" display="http://udn.com/news/cate/6645"/>
    <hyperlink ref="C72" r:id="rId69" display="http://health.udn.com/"/>
    <hyperlink ref="C73" r:id="rId70" display="http://udn.com/news/cate/6649"/>
    <hyperlink ref="C74" r:id="rId71" display="http://udn.com/news/cindex/1012"/>
    <hyperlink ref="C75" r:id="rId72" display="http://udn.com/news/cate/6643"/>
    <hyperlink ref="C76" r:id="rId73" display="http://udn.com/news/cate/6641"/>
    <hyperlink ref="C77" r:id="rId74" display="http://udn.com/news/cate/6640"/>
    <hyperlink ref="C78" r:id="rId75" display="http://udn.com/news/cate/7226"/>
    <hyperlink ref="C79" r:id="rId76" display="http://udn.com/news/cindex/1013"/>
    <hyperlink ref="C80" r:id="rId77" display="http://udn.com/news/cindex/1014"/>
    <hyperlink ref="C81" r:id="rId78" display="http://udn.com/news/cindex/1015"/>
    <hyperlink ref="C82" r:id="rId79" display="http://shopping.udn.com/mall/Cc1a00.do?sid=94_udn&amp;utm_source=udn.com&amp;utm_medium=referral_navi_udn&amp;utm_term=navibar_udn&amp;utm_campaign=20150103_UDN"/>
    <hyperlink ref="C83" r:id="rId80" tooltip="回聯合新聞網首頁" display="http://udn.com/"/>
    <hyperlink ref="C84" r:id="rId81" display="http://udn.com/news/breaknews/1"/>
    <hyperlink ref="C85" r:id="rId82" tooltip="熱門" display="http://udn.com/rank/pv/2"/>
    <hyperlink ref="C86" r:id="rId83" display="http://udn.com/news/cate/6638"/>
    <hyperlink ref="C87" r:id="rId84" display="http://udn.com/news/cate/6648"/>
    <hyperlink ref="C88" r:id="rId85" display="http://udn.com/news/cate/7227"/>
    <hyperlink ref="C89" r:id="rId86" display="http://udn.com/news/cate/7225"/>
    <hyperlink ref="C90" r:id="rId87" display="http://udn.com/news/cate/6639"/>
    <hyperlink ref="C91" r:id="rId88" display="http://udn.com/news/cate/6644"/>
    <hyperlink ref="C92" r:id="rId89" display="http://udn.com/news/cate/6645"/>
    <hyperlink ref="C93" r:id="rId90" display="http://health.udn.com/"/>
    <hyperlink ref="C94" r:id="rId91" display="http://udn.com/news/cate/6649"/>
    <hyperlink ref="C95" r:id="rId92" display="http://udn.com/news/cindex/1012"/>
    <hyperlink ref="C96" r:id="rId93" display="http://udn.com/news/cate/6643"/>
    <hyperlink ref="C97" r:id="rId94" display="http://udn.com/news/cate/6641"/>
    <hyperlink ref="C98" r:id="rId95" display="http://udn.com/news/cate/6640"/>
    <hyperlink ref="C99" r:id="rId96" display="http://udn.com/news/cate/7226"/>
    <hyperlink ref="C100" r:id="rId97" display="http://udn.com/news/cindex/1013"/>
    <hyperlink ref="C101" r:id="rId98" display="http://udn.com/news/cindex/1014"/>
    <hyperlink ref="C102" r:id="rId99" display="http://udn.com/news/cindex/1015"/>
    <hyperlink ref="C103" r:id="rId100" display="http://style.udn.com/"/>
    <hyperlink ref="C104" r:id="rId101" display="http://autos.udn.com/"/>
    <hyperlink ref="C105" r:id="rId102" display="http://shopping.udn.com/"/>
    <hyperlink ref="C106" r:id="rId103" display="http://udn.com/news/cate/9342"/>
    <hyperlink ref="C107" r:id="rId104" display="http://udn.com/news/story/1/1548491"/>
    <hyperlink ref="C108" r:id="rId105" display="http://udn.com/"/>
    <hyperlink ref="C109" r:id="rId106" display="http://udn.com/rank/pv/2/0/1"/>
    <hyperlink ref="C110" r:id="rId107" display="http://udn.com/rank/pv/1/0/1"/>
    <hyperlink ref="C111" r:id="rId108" display="http://udn.com/rank/pv/2/6638/1"/>
    <hyperlink ref="C112" r:id="rId109" display="http://udn.com/rank/pv/2/6648/1"/>
    <hyperlink ref="C113" r:id="rId110" display="http://udn.com/rank/pv/2/7227/1"/>
    <hyperlink ref="C114" r:id="rId111" display="http://udn.com/rank/pv/2/7225/1"/>
    <hyperlink ref="C115" r:id="rId112" display="http://udn.com/rank/pv/2/6639/1"/>
    <hyperlink ref="C116" r:id="rId113" display="http://udn.com/rank/pv/2/6644/1"/>
    <hyperlink ref="C117" r:id="rId114" display="http://udn.com/rank/pv/2/6645/1"/>
    <hyperlink ref="C118" r:id="rId115" display="http://udn.com/rank/pv/2/6649/1"/>
    <hyperlink ref="C119" r:id="rId116" display="http://udn.com/rank/pv/1012/0/1"/>
    <hyperlink ref="C120" r:id="rId117" display="http://udn.com/rank/pv/2/6643/1"/>
    <hyperlink ref="C121" r:id="rId118" display="http://udn.com/rank/pv/2/6641/1"/>
    <hyperlink ref="C122" r:id="rId119" display="http://udn.com/rank/pv/2/6640/1"/>
    <hyperlink ref="C123" r:id="rId120" display="http://udn.com/rank/pv/2/7226/1"/>
    <hyperlink ref="C124" r:id="rId121" display="http://udn.com/rank/pv/1013/0/1"/>
    <hyperlink ref="C125" r:id="rId122" display="http://udn.com/rank/pv/1014/0/1"/>
    <hyperlink ref="C126" r:id="rId123" display="http://udn.com/rank/pv/1015/0/1"/>
    <hyperlink ref="C127" r:id="rId124" display="http://udn.com/rank/newest/2/6645"/>
    <hyperlink ref="C128" r:id="rId125" display="http://udn.com/rank/pv/2/6645"/>
    <hyperlink ref="C129" r:id="rId126" display="http://udn.com/rank/share/2/6645"/>
    <hyperlink ref="D131" r:id="rId127" display="http://udn.com/news/story/7251/1547449"/>
    <hyperlink ref="H131" r:id="rId128" display="http://udn.com/news/story/7251/1547449"/>
    <hyperlink ref="D132" r:id="rId129" display="http://udn.com/news/story/7251/1547472"/>
    <hyperlink ref="H132" r:id="rId130" display="http://udn.com/news/story/7251/1547472"/>
    <hyperlink ref="D133" r:id="rId131" display="http://udn.com/news/story/7254/1546687"/>
    <hyperlink ref="H133" r:id="rId132" display="http://udn.com/news/story/7254/1546687"/>
    <hyperlink ref="D134" r:id="rId133" display="http://udn.com/news/story/7253/1547432"/>
    <hyperlink ref="H134" r:id="rId134" display="http://udn.com/news/story/7253/1547432"/>
    <hyperlink ref="D135" r:id="rId135" display="http://udn.com/news/story/7254/1547505"/>
    <hyperlink ref="H135" r:id="rId136" display="http://udn.com/news/story/7254/1547505"/>
    <hyperlink ref="D136" r:id="rId137" display="http://udn.com/news/story/7252/1547545"/>
    <hyperlink ref="H136" r:id="rId138" display="http://udn.com/news/story/7252/1547545"/>
    <hyperlink ref="D137" r:id="rId139" display="http://udn.com/news/story/7251/1548009"/>
    <hyperlink ref="H137" r:id="rId140" display="http://udn.com/news/story/7251/1548009"/>
    <hyperlink ref="D138" r:id="rId141" display="http://udn.com/news/story/7251/1548124"/>
    <hyperlink ref="H138" r:id="rId142" display="http://udn.com/news/story/7251/1548124"/>
    <hyperlink ref="D139" r:id="rId143" display="http://udn.com/news/story/7251/1546693"/>
    <hyperlink ref="H139" r:id="rId144" display="http://udn.com/news/story/7251/1546693"/>
    <hyperlink ref="D140" r:id="rId145" display="http://udn.com/news/story/7253/1547435"/>
    <hyperlink ref="H140" r:id="rId146" display="http://udn.com/news/story/7253/1547435"/>
    <hyperlink ref="D141" r:id="rId147" display="http://udn.com/news/story/7253/1546649"/>
    <hyperlink ref="H141" r:id="rId148" display="http://udn.com/news/story/7253/1546649"/>
    <hyperlink ref="D142" r:id="rId149" display="http://udn.com/news/story/7253/1548033"/>
    <hyperlink ref="H142" r:id="rId150" display="http://udn.com/news/story/7253/1548033"/>
    <hyperlink ref="D143" r:id="rId151" display="http://udn.com/news/story/7253/1547509"/>
    <hyperlink ref="H143" r:id="rId152" display="http://udn.com/news/story/7253/1547509"/>
    <hyperlink ref="D144" r:id="rId153" display="http://udn.com/news/story/7253/1546652"/>
    <hyperlink ref="H144" r:id="rId154" display="http://udn.com/news/story/7253/1546652"/>
    <hyperlink ref="D145" r:id="rId155" display="http://udn.com/news/story/7251/1547446"/>
    <hyperlink ref="H145" r:id="rId156" display="http://udn.com/news/story/7251/1547446"/>
    <hyperlink ref="D146" r:id="rId157" display="http://udn.com/news/story/7251/1547450"/>
    <hyperlink ref="H146" r:id="rId158" display="http://udn.com/news/story/7251/1547450"/>
    <hyperlink ref="D147" r:id="rId159" display="http://udn.com/news/story/7254/1547580"/>
    <hyperlink ref="H147" r:id="rId160" display="http://udn.com/news/story/7254/1547580"/>
    <hyperlink ref="D148" r:id="rId161" display="http://udn.com/news/story/7251/1547448"/>
    <hyperlink ref="H148" r:id="rId162" display="http://udn.com/news/story/7251/1547448"/>
    <hyperlink ref="D149" r:id="rId163" display="http://udn.com/news/story/7254/1546692"/>
    <hyperlink ref="H149" r:id="rId164" display="http://udn.com/news/story/7254/1546692"/>
    <hyperlink ref="D150" r:id="rId165" display="http://udn.com/news/story/7253/1547512"/>
    <hyperlink ref="H150" r:id="rId166" display="http://udn.com/news/story/7253/1547512"/>
    <hyperlink ref="D151" r:id="rId167" display="http://udn.com/news/story/7254/1547494"/>
    <hyperlink ref="H151" r:id="rId168" display="http://udn.com/news/story/7254/1547494"/>
    <hyperlink ref="D152" r:id="rId169" display="http://udn.com/news/story/7253/1546681"/>
    <hyperlink ref="H152" r:id="rId170" display="http://udn.com/news/story/7253/1546681"/>
    <hyperlink ref="D153" r:id="rId171" display="http://udn.com/news/story/7253/1547506"/>
    <hyperlink ref="H153" r:id="rId172" display="http://udn.com/news/story/7253/1547506"/>
    <hyperlink ref="D154" r:id="rId173" display="http://udn.com/news/story/7251/1546617"/>
    <hyperlink ref="H154" r:id="rId174" display="http://udn.com/news/story/7251/1546617"/>
    <hyperlink ref="D155" r:id="rId175" display="http://udn.com/news/story/7252/1547547"/>
    <hyperlink ref="H155" r:id="rId176" display="http://udn.com/news/story/7252/1547547"/>
    <hyperlink ref="D156" r:id="rId177" display="http://udn.com/news/story/7252/1546658"/>
    <hyperlink ref="H156" r:id="rId178" display="http://udn.com/news/story/7252/1546658"/>
    <hyperlink ref="D157" r:id="rId179" display="http://udn.com/news/story/7253/1546667"/>
    <hyperlink ref="H157" r:id="rId180" display="http://udn.com/news/story/7253/1546667"/>
    <hyperlink ref="D158" r:id="rId181" display="http://udn.com/news/story/7255/1547488"/>
    <hyperlink ref="H158" r:id="rId182" display="http://udn.com/news/story/7255/1547488"/>
    <hyperlink ref="D159" r:id="rId183" display="http://udn.com/news/story/7254/1546688"/>
    <hyperlink ref="H159" r:id="rId184" display="http://udn.com/news/story/7254/1546688"/>
    <hyperlink ref="D160" r:id="rId185" display="http://udn.com/news/story/7255/1547489"/>
    <hyperlink ref="H160" r:id="rId186" display="http://udn.com/news/story/7255/1547489"/>
    <hyperlink ref="D161" r:id="rId187" display="http://udn.com/news/story/7253/1547584"/>
    <hyperlink ref="H161" r:id="rId188" display="http://udn.com/news/story/7253/1547584"/>
    <hyperlink ref="D162" r:id="rId189" display="http://udn.com/news/story/7251/1547447"/>
    <hyperlink ref="H162" r:id="rId190" display="http://udn.com/news/story/7251/1547447"/>
    <hyperlink ref="D163" r:id="rId191" display="http://udn.com/news/story/7254/1547569"/>
    <hyperlink ref="H163" r:id="rId192" display="http://udn.com/news/story/7254/1547569"/>
    <hyperlink ref="D164" r:id="rId193" display="http://udn.com/news/story/7253/1546654"/>
    <hyperlink ref="H164" r:id="rId194" display="http://udn.com/news/story/7253/1546654"/>
    <hyperlink ref="D165" r:id="rId195" display="http://udn.com/news/story/7253/1547510"/>
    <hyperlink ref="H165" r:id="rId196" display="http://udn.com/news/story/7253/1547510"/>
    <hyperlink ref="D166" r:id="rId197" display="http://udn.com/news/story/7251/1547500"/>
    <hyperlink ref="H166" r:id="rId198" display="http://udn.com/news/story/7251/1547500"/>
    <hyperlink ref="D167" r:id="rId199" display="http://udn.com/news/story/7252/1547546"/>
    <hyperlink ref="H167" r:id="rId200" display="http://udn.com/news/story/7252/1547546"/>
    <hyperlink ref="D168" r:id="rId201" display="http://udn.com/news/story/7253/1546680"/>
    <hyperlink ref="H168" r:id="rId202" display="http://udn.com/news/story/7253/1546680"/>
    <hyperlink ref="D169" r:id="rId203" display="http://udn.com/news/story/7253/1546685"/>
    <hyperlink ref="H169" r:id="rId204" display="http://udn.com/news/story/7253/1546685"/>
    <hyperlink ref="D170" r:id="rId205" display="http://udn.com/news/story/7252/1547596"/>
    <hyperlink ref="H170" r:id="rId206" display="http://udn.com/news/story/7252/1547596"/>
    <hyperlink ref="D171" r:id="rId207" display="http://udn.com/news/story/7253/1546684"/>
    <hyperlink ref="H171" r:id="rId208" display="http://udn.com/news/story/7253/1546684"/>
    <hyperlink ref="D172" r:id="rId209" display="http://udn.com/news/story/7252/1547556"/>
    <hyperlink ref="H172" r:id="rId210" display="http://udn.com/news/story/7252/1547556"/>
    <hyperlink ref="D173" r:id="rId211" display="http://udn.com/news/story/7253/1547496"/>
    <hyperlink ref="H173" r:id="rId212" display="http://udn.com/news/story/7253/1547496"/>
    <hyperlink ref="D174" r:id="rId213" display="http://udn.com/news/story/7251/1547444"/>
    <hyperlink ref="H174" r:id="rId214" display="http://udn.com/news/story/7251/1547444"/>
    <hyperlink ref="D175" r:id="rId215" display="http://udn.com/news/story/7254/1546689"/>
    <hyperlink ref="H175" r:id="rId216" display="http://udn.com/news/story/7254/1546689"/>
    <hyperlink ref="D176" r:id="rId217" display="http://udn.com/news/story/7253/1546682"/>
    <hyperlink ref="H176" r:id="rId218" display="http://udn.com/news/story/7253/1546682"/>
    <hyperlink ref="D177" r:id="rId219" display="http://udn.com/news/story/7255/1546695"/>
    <hyperlink ref="H177" r:id="rId220" display="http://udn.com/news/story/7255/1546695"/>
    <hyperlink ref="D178" r:id="rId221" display="http://udn.com/news/story/7254/1547550"/>
    <hyperlink ref="H178" r:id="rId222" display="http://udn.com/news/story/7254/1547550"/>
    <hyperlink ref="D179" r:id="rId223" display="http://udn.com/news/story/7253/1547579"/>
    <hyperlink ref="H179" r:id="rId224" display="http://udn.com/news/story/7253/1547579"/>
    <hyperlink ref="D180" r:id="rId225" display="http://udn.com/news/story/7252/1547552"/>
    <hyperlink ref="H180" r:id="rId226" display="http://udn.com/news/story/7252/1547552"/>
    <hyperlink ref="D181" r:id="rId227" display="http://udn.com/news/story/7251/1546613"/>
    <hyperlink ref="H181" r:id="rId228" display="http://udn.com/news/story/7251/1546613"/>
    <hyperlink ref="D182" r:id="rId229" display="http://udn.com/news/story/7252/1547591"/>
    <hyperlink ref="H182" r:id="rId230" display="http://udn.com/news/story/7252/1547591"/>
    <hyperlink ref="D183" r:id="rId231" display="http://udn.com/news/story/7255/1546694"/>
    <hyperlink ref="H183" r:id="rId232" display="http://udn.com/news/story/7255/1546694"/>
    <hyperlink ref="D184" r:id="rId233" display="http://udn.com/news/story/7252/1547497"/>
    <hyperlink ref="H184" r:id="rId234" display="http://udn.com/news/story/7252/1547497"/>
    <hyperlink ref="D185" r:id="rId235" display="http://udn.com/news/story/7255/1546691"/>
    <hyperlink ref="H185" r:id="rId236" display="http://udn.com/news/story/7255/1546691"/>
    <hyperlink ref="D186" r:id="rId237" display="http://udn.com/news/story/7255/1547487"/>
    <hyperlink ref="H186" r:id="rId238" display="http://udn.com/news/story/7255/1547487"/>
    <hyperlink ref="D187" r:id="rId239" display="http://udn.com/news/story/7255/1547490"/>
    <hyperlink ref="H187" r:id="rId240" display="http://udn.com/news/story/7255/1547490"/>
    <hyperlink ref="D188" r:id="rId241" display="http://udn.com/news/story/7253/1547508"/>
    <hyperlink ref="H188" r:id="rId242" display="http://udn.com/news/story/7253/1547508"/>
    <hyperlink ref="D189" r:id="rId243" display="http://udn.com/news/story/7253/1547495"/>
    <hyperlink ref="H189" r:id="rId244" display="http://udn.com/news/story/7253/1547495"/>
    <hyperlink ref="D190" r:id="rId245" display="http://udn.com/news/story/7253/1547571"/>
    <hyperlink ref="H190" r:id="rId246" display="http://udn.com/news/story/7253/1547571"/>
    <hyperlink ref="C194" r:id="rId247" display="https://www.facebook.com/myudn"/>
    <hyperlink ref="C195" r:id="rId248" display="https://plus.google.com/105298219321543859712/posts"/>
    <hyperlink ref="C196" r:id="rId249" display="http://event.udn.com/line/"/>
    <hyperlink ref="C199" r:id="rId250" display="http://udn.com/news/breaknews/1"/>
    <hyperlink ref="C200" r:id="rId251" display="http://udn.com/news/cate/6638"/>
    <hyperlink ref="C201" r:id="rId252" display="http://udn.com/news/cate/6639"/>
    <hyperlink ref="C202" r:id="rId253" display="http://udn.com/news/cate/6641"/>
    <hyperlink ref="C203" r:id="rId254" display="http://udn.com/news/cate/6640"/>
    <hyperlink ref="C204" r:id="rId255" display="http://udn.com/news/cate/7225"/>
    <hyperlink ref="C205" r:id="rId256" display="http://udn.com/news/cate/6643"/>
    <hyperlink ref="C206" r:id="rId257" display="http://udn.com/news/cate/6644"/>
    <hyperlink ref="C207" r:id="rId258" display="http://udn.com/news/cate/6645"/>
    <hyperlink ref="C208" r:id="rId259" display="http://udn.com/news/cate/7227"/>
    <hyperlink ref="C209" r:id="rId260" display="http://udn.com/news/cate/7226"/>
    <hyperlink ref="C210" r:id="rId261" display="http://udn.com/news/cate/6648"/>
    <hyperlink ref="C211" r:id="rId262" display="http://udn.com/news/cate/6649"/>
    <hyperlink ref="C212" r:id="rId263" display="http://udn.com/news/cindex/1012"/>
    <hyperlink ref="C213" r:id="rId264" display="http://udn.com/news/cindex/1013"/>
    <hyperlink ref="C214" r:id="rId265" display="http://udn.com/news/cindex/1014"/>
    <hyperlink ref="C215" r:id="rId266" display="http://udn.com/news/cindex/1015"/>
    <hyperlink ref="C216" r:id="rId267" display="http://theme.udn.com/theme/index"/>
    <hyperlink ref="C218" r:id="rId268" display="http://global.udn.com/"/>
    <hyperlink ref="C219" r:id="rId269" display="http://opinion.udn.com/"/>
    <hyperlink ref="C220" r:id="rId270" display="http://debate.udn.com/"/>
    <hyperlink ref="C222" r:id="rId271" display="http://udn.com/rank/newest/2/0"/>
    <hyperlink ref="C223" r:id="rId272" display="http://udn.com/rank/pv/2"/>
    <hyperlink ref="C224" r:id="rId273" display="http://udn.com/rank/share/2/0"/>
    <hyperlink ref="C226" r:id="rId274" display="http://health.udn.com/disease/disease_list"/>
    <hyperlink ref="C227" r:id="rId275" display="http://health.udn.com/health/cate/5681"/>
    <hyperlink ref="C228" r:id="rId276" display="http://health.udn.com/health/cate/5680/"/>
    <hyperlink ref="C229" r:id="rId277" display="http://health.udn.com/health/cate/5683"/>
    <hyperlink ref="C230" r:id="rId278" display="http://health.udn.com/health/cate/5684"/>
    <hyperlink ref="C231" r:id="rId279" display="http://health.udn.com/health/cate/5685"/>
    <hyperlink ref="C233" r:id="rId280" display="http://money.udn.com/money/cate/5594"/>
    <hyperlink ref="C234" r:id="rId281" display="http://money.udn.com/money/cate/5595"/>
    <hyperlink ref="C235" r:id="rId282" display="http://fund.udn.com/"/>
    <hyperlink ref="C236" r:id="rId283" display="http://house.udn.com/"/>
    <hyperlink ref="C237" r:id="rId284" display="http://udn.com/lotto/"/>
    <hyperlink ref="C238" r:id="rId285" display="http://udn.com/invoice/"/>
    <hyperlink ref="C239" r:id="rId286" display="http://www.cens.com/cens/html/zh/"/>
    <hyperlink ref="C241" r:id="rId287" display="http://tw.global.nba.com/scores/"/>
    <hyperlink ref="C242" r:id="rId288" location="!/7" display="http://tw.global.nba.com/schedule/ - !/7"/>
    <hyperlink ref="C243" r:id="rId289" display="http://nba.udn.com/nba/videos/"/>
    <hyperlink ref="C244" r:id="rId290" display="http://nba.udn.com/nba/news/"/>
    <hyperlink ref="C245" r:id="rId291" display="http://nba.udn.com/nba/review/"/>
    <hyperlink ref="C246" r:id="rId292" display="http://nba.udn.com/photos/index/"/>
    <hyperlink ref="C247" r:id="rId293" display="http://tw.global.nba.com/standings/"/>
    <hyperlink ref="C248" r:id="rId294" display="http://tw.global.nba.com/statistics/"/>
    <hyperlink ref="C250" r:id="rId295" display="http://stars.udn.com/"/>
    <hyperlink ref="C251" r:id="rId296" display="http://stars.udn.com/stars/latest"/>
    <hyperlink ref="C252" r:id="rId297" display="http://stars.udn.com/stars/hot/"/>
    <hyperlink ref="C253" r:id="rId298" display="http://stars.udn.com/stars/search"/>
    <hyperlink ref="C254" r:id="rId299" display="http://stars.udn.com/stars/issue"/>
    <hyperlink ref="C255" r:id="rId300" display="http://stars.udn.com/stars/calendar"/>
    <hyperlink ref="C257" r:id="rId301" display="http://autos.udn.com/autos/cate/7824"/>
    <hyperlink ref="C258" r:id="rId302" display="http://autos.udn.com/autos/cate/7823"/>
    <hyperlink ref="C259" r:id="rId303" display="http://autos.udn.com/autos/cate/7821"/>
    <hyperlink ref="C260" r:id="rId304" display="http://autos.udn.com/autos/cate/7820"/>
    <hyperlink ref="C261" r:id="rId305" display="http://autos.udn.com/autos/cate/7818"/>
    <hyperlink ref="C263" r:id="rId306" display="http://style.udn.com/style/cate/8052"/>
    <hyperlink ref="C264" r:id="rId307" display="http://style.udn.com/style/cate/8053"/>
    <hyperlink ref="C265" r:id="rId308" display="http://style.udn.com/style/cate/8054"/>
    <hyperlink ref="C266" r:id="rId309" display="http://style.udn.com/style/cate/8055"/>
    <hyperlink ref="C267" r:id="rId310" display="http://style.udn.com/style/cate/8057"/>
    <hyperlink ref="C268" r:id="rId311" display="http://style.udn.com/style/cate/8058"/>
    <hyperlink ref="C270" r:id="rId312" display="http://video.udn.com/"/>
    <hyperlink ref="C271" r:id="rId313" display="http://tv.udn.com/"/>
    <hyperlink ref="C272" r:id="rId314" display="http://event.udn.com/line/"/>
    <hyperlink ref="C273" r:id="rId315" display="http://blog.udn.com/"/>
    <hyperlink ref="C275" r:id="rId316" display="http://paper.udn.com/"/>
    <hyperlink ref="C276" r:id="rId317" display="http://reading.udn.com/v2/paperMain.do"/>
    <hyperlink ref="C277" r:id="rId318" display="http://reading.udn.com/v2/bookMain.do"/>
    <hyperlink ref="C278" r:id="rId319" display="http://reading.udn.com/v2/magMain.do"/>
    <hyperlink ref="C280" r:id="rId320" display="http://udndata.com/"/>
    <hyperlink ref="C281" r:id="rId321" display="http://udndata.com/fullpage/"/>
    <hyperlink ref="C282" r:id="rId322" display="http://udndata.com/image"/>
    <hyperlink ref="C283" r:id="rId323" display="http://udndata.com/video/"/>
    <hyperlink ref="C284" r:id="rId324" display="http://udndata.com/store/"/>
    <hyperlink ref="C286" r:id="rId325" display="http://shopping.udn.com/mall/Cc1a00.do?sid=91&amp;utm_source=udn.com&amp;utm_medium=referral_footer_shopping&amp;utm_term=footer_shopping&amp;utm_campaign=20150103_UDN"/>
    <hyperlink ref="C287" r:id="rId326" display="http://mobile.udn.com/web/index.html"/>
    <hyperlink ref="C288" r:id="rId327" display="http://event.udn.com/index/index.html"/>
    <hyperlink ref="C289" r:id="rId328" display="http://utravel.udn.com/"/>
    <hyperlink ref="C290" r:id="rId329" display="http://ugood.udn.com/"/>
    <hyperlink ref="C293" display="Top"/>
    <hyperlink ref="C294" r:id="rId330" display="http://udn.com/"/>
    <hyperlink ref="C295" r:id="rId331" display="http://udn.com/weather/"/>
    <hyperlink ref="C296" r:id="rId332" display="http://health.udn.com/"/>
    <hyperlink ref="C297" r:id="rId333" display="http://nba.udn.com/"/>
    <hyperlink ref="C298" r:id="rId334" display="http://stars.udn.com/"/>
    <hyperlink ref="C299" r:id="rId335" display="http://vision.udn.com/"/>
    <hyperlink ref="C300" r:id="rId336" display="http://autos.udn.com/"/>
    <hyperlink ref="C301" r:id="rId337" display="http://style.udn.com/"/>
    <hyperlink ref="C302" r:id="rId338" display="http://opinion.udn.com/"/>
    <hyperlink ref="C303" r:id="rId339" display="http://global.udn.com/"/>
    <hyperlink ref="C304" r:id="rId340" display="http://theme.udn.com/"/>
    <hyperlink ref="C305" r:id="rId341" display="http://money.udn.com/"/>
    <hyperlink ref="C306" r:id="rId342" display="http://video.udn.com/"/>
    <hyperlink ref="C307" r:id="rId343" display="http://oops.udn.com/"/>
    <hyperlink ref="C308" r:id="rId344" display="http://blog.udn.com/"/>
    <hyperlink ref="C309" r:id="rId345" display="http://fund.udn.com/"/>
    <hyperlink ref="C310" r:id="rId346" display="http://house.udn.com/"/>
    <hyperlink ref="C311" r:id="rId347" display="http://udn.com/mypage/slist"/>
    <hyperlink ref="C312" r:id="rId348" display="http://mobile.udn.com/web/app.html"/>
    <hyperlink ref="C313" r:id="rId349" display="http://udn.com/page/topic/496"/>
    <hyperlink ref="C314" r:id="rId350" display="http://udn.com/page/topic/185"/>
    <hyperlink ref="C315" r:id="rId351" display="http://udn.com/page/topic/87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 filterMode="1" enableFormatConditionsCalculation="0"/>
  <dimension ref="A1:I1621"/>
  <sheetViews>
    <sheetView workbookViewId="0">
      <selection activeCell="L10" sqref="L10"/>
    </sheetView>
  </sheetViews>
  <sheetFormatPr baseColWidth="10" defaultColWidth="8.83203125" defaultRowHeight="15" x14ac:dyDescent="0.15"/>
  <cols>
    <col min="1" max="16384" width="8.83203125" style="26"/>
  </cols>
  <sheetData>
    <row r="1" spans="1:9" x14ac:dyDescent="0.15">
      <c r="B1" s="28" t="s">
        <v>3427</v>
      </c>
      <c r="C1" s="28" t="s">
        <v>3430</v>
      </c>
      <c r="D1" s="28" t="s">
        <v>3435</v>
      </c>
      <c r="E1" s="28" t="s">
        <v>3436</v>
      </c>
      <c r="F1" s="28" t="s">
        <v>3437</v>
      </c>
      <c r="G1" s="28" t="s">
        <v>3438</v>
      </c>
    </row>
    <row r="2" spans="1:9" x14ac:dyDescent="0.15">
      <c r="B2" s="28" t="s">
        <v>3428</v>
      </c>
      <c r="C2" s="28" t="s">
        <v>3431</v>
      </c>
      <c r="D2" s="28"/>
      <c r="E2" s="28"/>
      <c r="F2" s="28"/>
      <c r="G2" s="28"/>
    </row>
    <row r="3" spans="1:9" hidden="1" x14ac:dyDescent="0.15">
      <c r="B3" s="28" t="s">
        <v>3429</v>
      </c>
      <c r="C3" s="28" t="s">
        <v>3432</v>
      </c>
      <c r="D3" s="28" t="s">
        <v>3993</v>
      </c>
      <c r="E3" s="28" t="s">
        <v>3994</v>
      </c>
      <c r="F3" s="28" t="s">
        <v>3995</v>
      </c>
      <c r="G3" s="28" t="s">
        <v>3996</v>
      </c>
    </row>
    <row r="5" spans="1:9" x14ac:dyDescent="0.15">
      <c r="B5" s="26" t="s">
        <v>3433</v>
      </c>
      <c r="C5" s="26" t="s">
        <v>3434</v>
      </c>
      <c r="D5" s="26" t="s">
        <v>3993</v>
      </c>
      <c r="E5" s="26" t="s">
        <v>3994</v>
      </c>
      <c r="F5" s="26" t="s">
        <v>3995</v>
      </c>
      <c r="G5" s="26" t="s">
        <v>3997</v>
      </c>
      <c r="I5" s="26" t="s">
        <v>158</v>
      </c>
    </row>
    <row r="6" spans="1:9" x14ac:dyDescent="0.15">
      <c r="A6" s="26">
        <f>VALUE(B6)</f>
        <v>1101</v>
      </c>
      <c r="B6" s="27" t="s">
        <v>1809</v>
      </c>
      <c r="C6" s="26" t="s">
        <v>199</v>
      </c>
      <c r="D6" s="26">
        <v>4735</v>
      </c>
      <c r="E6" s="26">
        <v>740</v>
      </c>
      <c r="F6" s="26">
        <v>30.45</v>
      </c>
      <c r="G6" s="26">
        <v>29.65</v>
      </c>
      <c r="I6" s="26" t="str">
        <f>IF(F6&gt;G6,"Y","-")</f>
        <v>Y</v>
      </c>
    </row>
    <row r="7" spans="1:9" x14ac:dyDescent="0.15">
      <c r="A7" s="26">
        <f t="shared" ref="A7:A70" si="0">VALUE(B7)</f>
        <v>1102</v>
      </c>
      <c r="B7" s="27" t="s">
        <v>1810</v>
      </c>
      <c r="C7" s="26" t="s">
        <v>200</v>
      </c>
      <c r="D7" s="26">
        <v>2205</v>
      </c>
      <c r="E7" s="26">
        <v>0</v>
      </c>
      <c r="F7" s="26">
        <v>29</v>
      </c>
      <c r="G7" s="26">
        <v>27.59</v>
      </c>
      <c r="I7" s="26" t="str">
        <f t="shared" ref="I7:I70" si="1">IF(F7&gt;G7,"Y","-")</f>
        <v>Y</v>
      </c>
    </row>
    <row r="8" spans="1:9" x14ac:dyDescent="0.15">
      <c r="A8" s="26">
        <f t="shared" si="0"/>
        <v>1103</v>
      </c>
      <c r="B8" s="27" t="s">
        <v>1811</v>
      </c>
      <c r="C8" s="26" t="s">
        <v>201</v>
      </c>
      <c r="D8" s="26">
        <v>-66</v>
      </c>
      <c r="E8" s="26">
        <v>-45</v>
      </c>
      <c r="F8" s="26">
        <v>9.67</v>
      </c>
      <c r="G8" s="26">
        <v>9.34</v>
      </c>
      <c r="I8" s="26" t="str">
        <f t="shared" si="1"/>
        <v>Y</v>
      </c>
    </row>
    <row r="9" spans="1:9" x14ac:dyDescent="0.15">
      <c r="A9" s="26">
        <f t="shared" si="0"/>
        <v>1104</v>
      </c>
      <c r="B9" s="27" t="s">
        <v>1812</v>
      </c>
      <c r="C9" s="26" t="s">
        <v>202</v>
      </c>
      <c r="D9" s="26">
        <v>-36</v>
      </c>
      <c r="E9" s="26">
        <v>0</v>
      </c>
      <c r="F9" s="26">
        <v>21.6</v>
      </c>
      <c r="G9" s="26">
        <v>21.11</v>
      </c>
      <c r="I9" s="26" t="str">
        <f t="shared" si="1"/>
        <v>Y</v>
      </c>
    </row>
    <row r="10" spans="1:9" x14ac:dyDescent="0.15">
      <c r="A10" s="26">
        <f t="shared" si="0"/>
        <v>1108</v>
      </c>
      <c r="B10" s="27" t="s">
        <v>1813</v>
      </c>
      <c r="C10" s="26" t="s">
        <v>203</v>
      </c>
      <c r="D10" s="26">
        <v>82</v>
      </c>
      <c r="E10" s="26">
        <v>0</v>
      </c>
      <c r="F10" s="26">
        <v>10.050000000000001</v>
      </c>
      <c r="G10" s="26">
        <v>9.85</v>
      </c>
      <c r="I10" s="26" t="str">
        <f t="shared" si="1"/>
        <v>Y</v>
      </c>
    </row>
    <row r="11" spans="1:9" x14ac:dyDescent="0.15">
      <c r="A11" s="26">
        <f t="shared" si="0"/>
        <v>1109</v>
      </c>
      <c r="B11" s="27" t="s">
        <v>1814</v>
      </c>
      <c r="C11" s="26" t="s">
        <v>204</v>
      </c>
      <c r="D11" s="26">
        <v>-7</v>
      </c>
      <c r="E11" s="26">
        <v>0</v>
      </c>
      <c r="F11" s="26">
        <v>10</v>
      </c>
      <c r="G11" s="26">
        <v>9.99</v>
      </c>
      <c r="I11" s="26" t="str">
        <f t="shared" si="1"/>
        <v>Y</v>
      </c>
    </row>
    <row r="12" spans="1:9" x14ac:dyDescent="0.15">
      <c r="A12" s="26">
        <f t="shared" si="0"/>
        <v>1110</v>
      </c>
      <c r="B12" s="27" t="s">
        <v>1815</v>
      </c>
      <c r="C12" s="26" t="s">
        <v>205</v>
      </c>
      <c r="D12" s="26">
        <v>-7</v>
      </c>
      <c r="E12" s="26">
        <v>0</v>
      </c>
      <c r="F12" s="26">
        <v>14.7</v>
      </c>
      <c r="G12" s="26">
        <v>14.56</v>
      </c>
      <c r="I12" s="26" t="str">
        <f t="shared" si="1"/>
        <v>Y</v>
      </c>
    </row>
    <row r="13" spans="1:9" x14ac:dyDescent="0.15">
      <c r="A13" s="26">
        <f t="shared" si="0"/>
        <v>1201</v>
      </c>
      <c r="B13" s="27" t="s">
        <v>1816</v>
      </c>
      <c r="C13" s="26" t="s">
        <v>206</v>
      </c>
      <c r="D13" s="26">
        <v>296</v>
      </c>
      <c r="E13" s="26">
        <v>0</v>
      </c>
      <c r="F13" s="26">
        <v>20</v>
      </c>
      <c r="G13" s="26">
        <v>18.39</v>
      </c>
      <c r="I13" s="26" t="str">
        <f t="shared" si="1"/>
        <v>Y</v>
      </c>
    </row>
    <row r="14" spans="1:9" x14ac:dyDescent="0.15">
      <c r="A14" s="26">
        <f t="shared" si="0"/>
        <v>1203</v>
      </c>
      <c r="B14" s="27" t="s">
        <v>1817</v>
      </c>
      <c r="C14" s="26" t="s">
        <v>207</v>
      </c>
      <c r="D14" s="26">
        <v>2</v>
      </c>
      <c r="E14" s="26">
        <v>-19</v>
      </c>
      <c r="F14" s="26">
        <v>22.8</v>
      </c>
      <c r="G14" s="26">
        <v>22.52</v>
      </c>
      <c r="I14" s="26" t="str">
        <f t="shared" si="1"/>
        <v>Y</v>
      </c>
    </row>
    <row r="15" spans="1:9" x14ac:dyDescent="0.15">
      <c r="A15" s="26">
        <f t="shared" si="0"/>
        <v>1210</v>
      </c>
      <c r="B15" s="27" t="s">
        <v>1818</v>
      </c>
      <c r="C15" s="26" t="s">
        <v>208</v>
      </c>
      <c r="D15" s="26">
        <v>-41</v>
      </c>
      <c r="E15" s="26">
        <v>0</v>
      </c>
      <c r="F15" s="26">
        <v>22.9</v>
      </c>
      <c r="G15" s="26">
        <v>21.95</v>
      </c>
      <c r="I15" s="26" t="str">
        <f t="shared" si="1"/>
        <v>Y</v>
      </c>
    </row>
    <row r="16" spans="1:9" x14ac:dyDescent="0.15">
      <c r="A16" s="26">
        <f t="shared" si="0"/>
        <v>1213</v>
      </c>
      <c r="B16" s="27" t="s">
        <v>1819</v>
      </c>
      <c r="C16" s="26" t="s">
        <v>209</v>
      </c>
      <c r="D16" s="26">
        <v>0</v>
      </c>
      <c r="E16" s="26">
        <v>0</v>
      </c>
      <c r="F16" s="26">
        <v>16.3</v>
      </c>
      <c r="G16" s="26">
        <v>15.88</v>
      </c>
      <c r="I16" s="26" t="str">
        <f t="shared" si="1"/>
        <v>Y</v>
      </c>
    </row>
    <row r="17" spans="1:9" x14ac:dyDescent="0.15">
      <c r="A17" s="26">
        <f t="shared" si="0"/>
        <v>1215</v>
      </c>
      <c r="B17" s="27" t="s">
        <v>1820</v>
      </c>
      <c r="C17" s="26" t="s">
        <v>210</v>
      </c>
      <c r="D17" s="26">
        <v>106</v>
      </c>
      <c r="E17" s="26">
        <v>0</v>
      </c>
      <c r="F17" s="26">
        <v>23.6</v>
      </c>
      <c r="G17" s="26">
        <v>22.85</v>
      </c>
      <c r="I17" s="26" t="str">
        <f t="shared" si="1"/>
        <v>Y</v>
      </c>
    </row>
    <row r="18" spans="1:9" x14ac:dyDescent="0.15">
      <c r="A18" s="26">
        <f t="shared" si="0"/>
        <v>1216</v>
      </c>
      <c r="B18" s="27" t="s">
        <v>1821</v>
      </c>
      <c r="C18" s="26" t="s">
        <v>211</v>
      </c>
      <c r="D18" s="26">
        <v>919</v>
      </c>
      <c r="E18" s="26">
        <v>0</v>
      </c>
      <c r="F18" s="26">
        <v>57.4</v>
      </c>
      <c r="G18" s="26">
        <v>56.75</v>
      </c>
      <c r="I18" s="26" t="str">
        <f t="shared" si="1"/>
        <v>Y</v>
      </c>
    </row>
    <row r="19" spans="1:9" x14ac:dyDescent="0.15">
      <c r="A19" s="26">
        <f t="shared" si="0"/>
        <v>1217</v>
      </c>
      <c r="B19" s="27" t="s">
        <v>1822</v>
      </c>
      <c r="C19" s="26" t="s">
        <v>212</v>
      </c>
      <c r="D19" s="26">
        <v>18</v>
      </c>
      <c r="E19" s="26">
        <v>0</v>
      </c>
      <c r="F19" s="26">
        <v>8.33</v>
      </c>
      <c r="G19" s="26">
        <v>8.24</v>
      </c>
      <c r="I19" s="26" t="str">
        <f t="shared" si="1"/>
        <v>Y</v>
      </c>
    </row>
    <row r="20" spans="1:9" x14ac:dyDescent="0.15">
      <c r="A20" s="26">
        <f t="shared" si="0"/>
        <v>1218</v>
      </c>
      <c r="B20" s="27" t="s">
        <v>1823</v>
      </c>
      <c r="C20" s="26" t="s">
        <v>213</v>
      </c>
      <c r="D20" s="26">
        <v>-4</v>
      </c>
      <c r="E20" s="26">
        <v>0</v>
      </c>
      <c r="F20" s="26">
        <v>13</v>
      </c>
      <c r="G20" s="26">
        <v>12.36</v>
      </c>
      <c r="I20" s="26" t="str">
        <f t="shared" si="1"/>
        <v>Y</v>
      </c>
    </row>
    <row r="21" spans="1:9" x14ac:dyDescent="0.15">
      <c r="A21" s="26">
        <f t="shared" si="0"/>
        <v>1219</v>
      </c>
      <c r="B21" s="27" t="s">
        <v>1824</v>
      </c>
      <c r="C21" s="26" t="s">
        <v>214</v>
      </c>
      <c r="D21" s="26">
        <v>-2</v>
      </c>
      <c r="E21" s="26">
        <v>0</v>
      </c>
      <c r="F21" s="26">
        <v>15.2</v>
      </c>
      <c r="G21" s="26">
        <v>14.81</v>
      </c>
      <c r="I21" s="26" t="str">
        <f t="shared" si="1"/>
        <v>Y</v>
      </c>
    </row>
    <row r="22" spans="1:9" x14ac:dyDescent="0.15">
      <c r="A22" s="26">
        <f t="shared" si="0"/>
        <v>1220</v>
      </c>
      <c r="B22" s="27" t="s">
        <v>1825</v>
      </c>
      <c r="C22" s="26" t="s">
        <v>215</v>
      </c>
      <c r="D22" s="26">
        <v>-7</v>
      </c>
      <c r="E22" s="26">
        <v>0</v>
      </c>
      <c r="F22" s="26">
        <v>10.65</v>
      </c>
      <c r="G22" s="26">
        <v>10.58</v>
      </c>
      <c r="I22" s="26" t="str">
        <f t="shared" si="1"/>
        <v>Y</v>
      </c>
    </row>
    <row r="23" spans="1:9" x14ac:dyDescent="0.15">
      <c r="A23" s="26">
        <f t="shared" si="0"/>
        <v>1225</v>
      </c>
      <c r="B23" s="27" t="s">
        <v>1826</v>
      </c>
      <c r="C23" s="26" t="s">
        <v>216</v>
      </c>
      <c r="D23" s="26">
        <v>-20</v>
      </c>
      <c r="E23" s="26">
        <v>0</v>
      </c>
      <c r="F23" s="26">
        <v>28.45</v>
      </c>
      <c r="G23" s="26">
        <v>27.57</v>
      </c>
      <c r="I23" s="26" t="str">
        <f t="shared" si="1"/>
        <v>Y</v>
      </c>
    </row>
    <row r="24" spans="1:9" x14ac:dyDescent="0.15">
      <c r="A24" s="26">
        <f t="shared" si="0"/>
        <v>1227</v>
      </c>
      <c r="B24" s="27" t="s">
        <v>1827</v>
      </c>
      <c r="C24" s="26" t="s">
        <v>217</v>
      </c>
      <c r="D24" s="26">
        <v>244</v>
      </c>
      <c r="E24" s="26">
        <v>0</v>
      </c>
      <c r="F24" s="26">
        <v>84.5</v>
      </c>
      <c r="G24" s="26">
        <v>83.17</v>
      </c>
      <c r="I24" s="26" t="str">
        <f t="shared" si="1"/>
        <v>Y</v>
      </c>
    </row>
    <row r="25" spans="1:9" x14ac:dyDescent="0.15">
      <c r="A25" s="26">
        <f t="shared" si="0"/>
        <v>1229</v>
      </c>
      <c r="B25" s="27" t="s">
        <v>1828</v>
      </c>
      <c r="C25" s="26" t="s">
        <v>218</v>
      </c>
      <c r="D25" s="26">
        <v>61</v>
      </c>
      <c r="E25" s="26">
        <v>0</v>
      </c>
      <c r="F25" s="26">
        <v>19.8</v>
      </c>
      <c r="G25" s="26">
        <v>19.309999999999999</v>
      </c>
      <c r="I25" s="26" t="str">
        <f t="shared" si="1"/>
        <v>Y</v>
      </c>
    </row>
    <row r="26" spans="1:9" x14ac:dyDescent="0.15">
      <c r="A26" s="26">
        <f t="shared" si="0"/>
        <v>1231</v>
      </c>
      <c r="B26" s="27" t="s">
        <v>1829</v>
      </c>
      <c r="C26" s="26" t="s">
        <v>219</v>
      </c>
      <c r="D26" s="26">
        <v>3</v>
      </c>
      <c r="E26" s="26">
        <v>-21</v>
      </c>
      <c r="F26" s="26">
        <v>30.25</v>
      </c>
      <c r="G26" s="26">
        <v>29.1</v>
      </c>
      <c r="I26" s="26" t="str">
        <f t="shared" si="1"/>
        <v>Y</v>
      </c>
    </row>
    <row r="27" spans="1:9" x14ac:dyDescent="0.15">
      <c r="A27" s="26">
        <f t="shared" si="0"/>
        <v>1232</v>
      </c>
      <c r="B27" s="27" t="s">
        <v>1830</v>
      </c>
      <c r="C27" s="26" t="s">
        <v>220</v>
      </c>
      <c r="D27" s="26">
        <v>2</v>
      </c>
      <c r="E27" s="26">
        <v>0</v>
      </c>
      <c r="F27" s="26">
        <v>77</v>
      </c>
      <c r="G27" s="26">
        <v>75.430000000000007</v>
      </c>
      <c r="I27" s="26" t="str">
        <f t="shared" si="1"/>
        <v>Y</v>
      </c>
    </row>
    <row r="28" spans="1:9" x14ac:dyDescent="0.15">
      <c r="A28" s="26">
        <f t="shared" si="0"/>
        <v>1233</v>
      </c>
      <c r="B28" s="27" t="s">
        <v>1831</v>
      </c>
      <c r="C28" s="26" t="s">
        <v>221</v>
      </c>
      <c r="D28" s="26">
        <v>-2</v>
      </c>
      <c r="E28" s="26">
        <v>0</v>
      </c>
      <c r="F28" s="26">
        <v>39.6</v>
      </c>
      <c r="G28" s="26">
        <v>38.119999999999997</v>
      </c>
      <c r="I28" s="26" t="str">
        <f t="shared" si="1"/>
        <v>Y</v>
      </c>
    </row>
    <row r="29" spans="1:9" x14ac:dyDescent="0.15">
      <c r="A29" s="26">
        <f t="shared" si="0"/>
        <v>1234</v>
      </c>
      <c r="B29" s="27" t="s">
        <v>1832</v>
      </c>
      <c r="C29" s="26" t="s">
        <v>222</v>
      </c>
      <c r="D29" s="26">
        <v>-37</v>
      </c>
      <c r="E29" s="26">
        <v>0</v>
      </c>
      <c r="F29" s="26">
        <v>36</v>
      </c>
      <c r="G29" s="26">
        <v>35.25</v>
      </c>
      <c r="I29" s="26" t="str">
        <f t="shared" si="1"/>
        <v>Y</v>
      </c>
    </row>
    <row r="30" spans="1:9" x14ac:dyDescent="0.15">
      <c r="A30" s="26">
        <f t="shared" si="0"/>
        <v>1235</v>
      </c>
      <c r="B30" s="27" t="s">
        <v>1833</v>
      </c>
      <c r="C30" s="26" t="s">
        <v>223</v>
      </c>
      <c r="D30" s="26">
        <v>-2</v>
      </c>
      <c r="E30" s="26">
        <v>0</v>
      </c>
      <c r="F30" s="26">
        <v>22.1</v>
      </c>
      <c r="G30" s="26">
        <v>20.440000000000001</v>
      </c>
      <c r="I30" s="26" t="str">
        <f t="shared" si="1"/>
        <v>Y</v>
      </c>
    </row>
    <row r="31" spans="1:9" x14ac:dyDescent="0.15">
      <c r="A31" s="26">
        <f t="shared" si="0"/>
        <v>1236</v>
      </c>
      <c r="B31" s="27" t="s">
        <v>1834</v>
      </c>
      <c r="C31" s="26" t="s">
        <v>224</v>
      </c>
      <c r="D31" s="26">
        <v>-2</v>
      </c>
      <c r="E31" s="26">
        <v>0</v>
      </c>
      <c r="F31" s="26">
        <v>21.15</v>
      </c>
      <c r="G31" s="26">
        <v>21.12</v>
      </c>
      <c r="I31" s="26" t="str">
        <f t="shared" si="1"/>
        <v>Y</v>
      </c>
    </row>
    <row r="32" spans="1:9" x14ac:dyDescent="0.15">
      <c r="A32" s="26">
        <f t="shared" si="0"/>
        <v>1256</v>
      </c>
      <c r="B32" s="27" t="s">
        <v>1835</v>
      </c>
      <c r="C32" s="26" t="s">
        <v>225</v>
      </c>
      <c r="D32" s="26">
        <v>1</v>
      </c>
      <c r="E32" s="26">
        <v>0</v>
      </c>
      <c r="F32" s="26">
        <v>141.5</v>
      </c>
      <c r="G32" s="26">
        <v>134</v>
      </c>
      <c r="I32" s="26" t="str">
        <f t="shared" si="1"/>
        <v>Y</v>
      </c>
    </row>
    <row r="33" spans="1:9" x14ac:dyDescent="0.15">
      <c r="A33" s="26">
        <f t="shared" si="0"/>
        <v>1258</v>
      </c>
      <c r="B33" s="27" t="s">
        <v>1836</v>
      </c>
      <c r="C33" s="26" t="s">
        <v>226</v>
      </c>
      <c r="D33" s="26">
        <v>1</v>
      </c>
      <c r="E33" s="26">
        <v>0</v>
      </c>
      <c r="F33" s="26">
        <v>46.55</v>
      </c>
      <c r="G33" s="26">
        <v>44.81</v>
      </c>
      <c r="I33" s="26" t="str">
        <f t="shared" si="1"/>
        <v>Y</v>
      </c>
    </row>
    <row r="34" spans="1:9" x14ac:dyDescent="0.15">
      <c r="A34" s="26">
        <f t="shared" si="0"/>
        <v>1259</v>
      </c>
      <c r="B34" s="27" t="s">
        <v>1837</v>
      </c>
      <c r="C34" s="26" t="s">
        <v>227</v>
      </c>
      <c r="D34" s="26">
        <v>6</v>
      </c>
      <c r="E34" s="26">
        <v>0</v>
      </c>
      <c r="F34" s="26">
        <v>73.099999999999994</v>
      </c>
      <c r="G34" s="26">
        <v>72.25</v>
      </c>
      <c r="I34" s="26" t="str">
        <f t="shared" si="1"/>
        <v>Y</v>
      </c>
    </row>
    <row r="35" spans="1:9" x14ac:dyDescent="0.15">
      <c r="A35" s="26">
        <f t="shared" si="0"/>
        <v>1262</v>
      </c>
      <c r="B35" s="27" t="s">
        <v>1838</v>
      </c>
      <c r="C35" s="26" t="s">
        <v>228</v>
      </c>
      <c r="D35" s="26">
        <v>-68</v>
      </c>
      <c r="E35" s="26">
        <v>0</v>
      </c>
      <c r="F35" s="26">
        <v>120.5</v>
      </c>
      <c r="G35" s="26">
        <v>119.17</v>
      </c>
      <c r="I35" s="26" t="str">
        <f t="shared" si="1"/>
        <v>Y</v>
      </c>
    </row>
    <row r="36" spans="1:9" x14ac:dyDescent="0.15">
      <c r="A36" s="26">
        <f t="shared" si="0"/>
        <v>1264</v>
      </c>
      <c r="B36" s="27" t="s">
        <v>1839</v>
      </c>
      <c r="C36" s="26" t="s">
        <v>229</v>
      </c>
      <c r="D36" s="26">
        <v>2</v>
      </c>
      <c r="E36" s="26">
        <v>0</v>
      </c>
      <c r="F36" s="26">
        <v>206.5</v>
      </c>
      <c r="G36" s="26">
        <v>201.17</v>
      </c>
      <c r="I36" s="26" t="str">
        <f t="shared" si="1"/>
        <v>Y</v>
      </c>
    </row>
    <row r="37" spans="1:9" x14ac:dyDescent="0.15">
      <c r="A37" s="26">
        <f t="shared" si="0"/>
        <v>1301</v>
      </c>
      <c r="B37" s="27" t="s">
        <v>1840</v>
      </c>
      <c r="C37" s="26" t="s">
        <v>230</v>
      </c>
      <c r="D37" s="26">
        <v>1728</v>
      </c>
      <c r="E37" s="26">
        <v>323</v>
      </c>
      <c r="F37" s="26">
        <v>80</v>
      </c>
      <c r="G37" s="26">
        <v>78.73</v>
      </c>
      <c r="I37" s="26" t="str">
        <f t="shared" si="1"/>
        <v>Y</v>
      </c>
    </row>
    <row r="38" spans="1:9" x14ac:dyDescent="0.15">
      <c r="A38" s="26">
        <f t="shared" si="0"/>
        <v>1303</v>
      </c>
      <c r="B38" s="27" t="s">
        <v>1841</v>
      </c>
      <c r="C38" s="26" t="s">
        <v>231</v>
      </c>
      <c r="D38" s="26">
        <v>3522</v>
      </c>
      <c r="E38" s="26">
        <v>0</v>
      </c>
      <c r="F38" s="26">
        <v>67</v>
      </c>
      <c r="G38" s="26">
        <v>63.62</v>
      </c>
      <c r="I38" s="26" t="str">
        <f t="shared" si="1"/>
        <v>Y</v>
      </c>
    </row>
    <row r="39" spans="1:9" x14ac:dyDescent="0.15">
      <c r="A39" s="26">
        <f t="shared" si="0"/>
        <v>1304</v>
      </c>
      <c r="B39" s="27" t="s">
        <v>1842</v>
      </c>
      <c r="C39" s="26" t="s">
        <v>232</v>
      </c>
      <c r="D39" s="26">
        <v>207</v>
      </c>
      <c r="E39" s="26">
        <v>-1000</v>
      </c>
      <c r="F39" s="26">
        <v>13.85</v>
      </c>
      <c r="G39" s="26">
        <v>13.47</v>
      </c>
      <c r="I39" s="26" t="str">
        <f t="shared" si="1"/>
        <v>Y</v>
      </c>
    </row>
    <row r="40" spans="1:9" x14ac:dyDescent="0.15">
      <c r="A40" s="26">
        <f t="shared" si="0"/>
        <v>1305</v>
      </c>
      <c r="B40" s="27" t="s">
        <v>1843</v>
      </c>
      <c r="C40" s="26" t="s">
        <v>233</v>
      </c>
      <c r="D40" s="26">
        <v>-457</v>
      </c>
      <c r="E40" s="26">
        <v>137</v>
      </c>
      <c r="F40" s="26">
        <v>14.95</v>
      </c>
      <c r="G40" s="26">
        <v>14.53</v>
      </c>
      <c r="I40" s="26" t="str">
        <f t="shared" si="1"/>
        <v>Y</v>
      </c>
    </row>
    <row r="41" spans="1:9" x14ac:dyDescent="0.15">
      <c r="A41" s="26">
        <f t="shared" si="0"/>
        <v>1307</v>
      </c>
      <c r="B41" s="27" t="s">
        <v>1844</v>
      </c>
      <c r="C41" s="26" t="s">
        <v>234</v>
      </c>
      <c r="D41" s="26">
        <v>-141</v>
      </c>
      <c r="E41" s="26">
        <v>0</v>
      </c>
      <c r="F41" s="26">
        <v>38.299999999999997</v>
      </c>
      <c r="G41" s="26">
        <v>37.450000000000003</v>
      </c>
      <c r="I41" s="26" t="str">
        <f t="shared" si="1"/>
        <v>Y</v>
      </c>
    </row>
    <row r="42" spans="1:9" x14ac:dyDescent="0.15">
      <c r="A42" s="26">
        <f t="shared" si="0"/>
        <v>1308</v>
      </c>
      <c r="B42" s="27" t="s">
        <v>1845</v>
      </c>
      <c r="C42" s="26" t="s">
        <v>235</v>
      </c>
      <c r="D42" s="26">
        <v>-16</v>
      </c>
      <c r="E42" s="26">
        <v>0</v>
      </c>
      <c r="F42" s="26">
        <v>19.5</v>
      </c>
      <c r="G42" s="26">
        <v>18.93</v>
      </c>
      <c r="I42" s="26" t="str">
        <f t="shared" si="1"/>
        <v>Y</v>
      </c>
    </row>
    <row r="43" spans="1:9" x14ac:dyDescent="0.15">
      <c r="A43" s="26">
        <f t="shared" si="0"/>
        <v>1309</v>
      </c>
      <c r="B43" s="27" t="s">
        <v>1846</v>
      </c>
      <c r="C43" s="26" t="s">
        <v>236</v>
      </c>
      <c r="D43" s="26">
        <v>28</v>
      </c>
      <c r="E43" s="26">
        <v>0</v>
      </c>
      <c r="F43" s="26">
        <v>8.3000000000000007</v>
      </c>
      <c r="G43" s="26">
        <v>7.79</v>
      </c>
      <c r="I43" s="26" t="str">
        <f t="shared" si="1"/>
        <v>Y</v>
      </c>
    </row>
    <row r="44" spans="1:9" x14ac:dyDescent="0.15">
      <c r="A44" s="26">
        <f t="shared" si="0"/>
        <v>1310</v>
      </c>
      <c r="B44" s="27" t="s">
        <v>1847</v>
      </c>
      <c r="C44" s="26" t="s">
        <v>237</v>
      </c>
      <c r="D44" s="26">
        <v>870</v>
      </c>
      <c r="E44" s="26">
        <v>1040</v>
      </c>
      <c r="F44" s="26">
        <v>18.399999999999999</v>
      </c>
      <c r="G44" s="26">
        <v>18.260000000000002</v>
      </c>
      <c r="I44" s="26" t="str">
        <f t="shared" si="1"/>
        <v>Y</v>
      </c>
    </row>
    <row r="45" spans="1:9" x14ac:dyDescent="0.15">
      <c r="A45" s="26">
        <f t="shared" si="0"/>
        <v>1312</v>
      </c>
      <c r="B45" s="27" t="s">
        <v>1848</v>
      </c>
      <c r="C45" s="26" t="s">
        <v>238</v>
      </c>
      <c r="D45" s="26">
        <v>565</v>
      </c>
      <c r="E45" s="26">
        <v>-512</v>
      </c>
      <c r="F45" s="26">
        <v>17.7</v>
      </c>
      <c r="G45" s="26">
        <v>17.03</v>
      </c>
      <c r="I45" s="26" t="str">
        <f t="shared" si="1"/>
        <v>Y</v>
      </c>
    </row>
    <row r="46" spans="1:9" x14ac:dyDescent="0.15">
      <c r="A46" s="26">
        <f t="shared" si="0"/>
        <v>1313</v>
      </c>
      <c r="B46" s="27" t="s">
        <v>1849</v>
      </c>
      <c r="C46" s="26" t="s">
        <v>239</v>
      </c>
      <c r="D46" s="26">
        <v>69</v>
      </c>
      <c r="E46" s="26">
        <v>0</v>
      </c>
      <c r="F46" s="26">
        <v>9.5299999999999994</v>
      </c>
      <c r="G46" s="26">
        <v>8.99</v>
      </c>
      <c r="I46" s="26" t="str">
        <f t="shared" si="1"/>
        <v>Y</v>
      </c>
    </row>
    <row r="47" spans="1:9" x14ac:dyDescent="0.15">
      <c r="A47" s="26">
        <f t="shared" si="0"/>
        <v>1314</v>
      </c>
      <c r="B47" s="27" t="s">
        <v>1850</v>
      </c>
      <c r="C47" s="26" t="s">
        <v>240</v>
      </c>
      <c r="D47" s="26">
        <v>943</v>
      </c>
      <c r="E47" s="26">
        <v>0</v>
      </c>
      <c r="F47" s="26">
        <v>8.67</v>
      </c>
      <c r="G47" s="26">
        <v>8.19</v>
      </c>
      <c r="I47" s="26" t="str">
        <f t="shared" si="1"/>
        <v>Y</v>
      </c>
    </row>
    <row r="48" spans="1:9" x14ac:dyDescent="0.15">
      <c r="A48" s="26">
        <f t="shared" si="0"/>
        <v>1315</v>
      </c>
      <c r="B48" s="27" t="s">
        <v>1851</v>
      </c>
      <c r="C48" s="26" t="s">
        <v>241</v>
      </c>
      <c r="D48" s="26">
        <v>-14</v>
      </c>
      <c r="E48" s="26">
        <v>0</v>
      </c>
      <c r="F48" s="26">
        <v>24.3</v>
      </c>
      <c r="G48" s="26">
        <v>23.45</v>
      </c>
      <c r="I48" s="26" t="str">
        <f t="shared" si="1"/>
        <v>Y</v>
      </c>
    </row>
    <row r="49" spans="1:9" x14ac:dyDescent="0.15">
      <c r="A49" s="26">
        <f t="shared" si="0"/>
        <v>1316</v>
      </c>
      <c r="B49" s="27" t="s">
        <v>1852</v>
      </c>
      <c r="C49" s="26" t="s">
        <v>242</v>
      </c>
      <c r="D49" s="26">
        <v>-2</v>
      </c>
      <c r="E49" s="26">
        <v>0</v>
      </c>
      <c r="F49" s="26">
        <v>9.81</v>
      </c>
      <c r="G49" s="26">
        <v>9.8699999999999992</v>
      </c>
      <c r="I49" s="26" t="str">
        <f t="shared" si="1"/>
        <v>-</v>
      </c>
    </row>
    <row r="50" spans="1:9" x14ac:dyDescent="0.15">
      <c r="A50" s="26">
        <f t="shared" si="0"/>
        <v>1319</v>
      </c>
      <c r="B50" s="27" t="s">
        <v>1853</v>
      </c>
      <c r="C50" s="26" t="s">
        <v>243</v>
      </c>
      <c r="D50" s="26">
        <v>-2853</v>
      </c>
      <c r="E50" s="26">
        <v>-697</v>
      </c>
      <c r="F50" s="26">
        <v>46.4</v>
      </c>
      <c r="G50" s="26">
        <v>47.6</v>
      </c>
      <c r="I50" s="26" t="str">
        <f t="shared" si="1"/>
        <v>-</v>
      </c>
    </row>
    <row r="51" spans="1:9" x14ac:dyDescent="0.15">
      <c r="A51" s="26">
        <f t="shared" si="0"/>
        <v>1321</v>
      </c>
      <c r="B51" s="27" t="s">
        <v>1854</v>
      </c>
      <c r="C51" s="26" t="s">
        <v>244</v>
      </c>
      <c r="D51" s="26">
        <v>-1</v>
      </c>
      <c r="E51" s="26">
        <v>0</v>
      </c>
      <c r="F51" s="26">
        <v>27.4</v>
      </c>
      <c r="G51" s="26">
        <v>26.97</v>
      </c>
      <c r="I51" s="26" t="str">
        <f t="shared" si="1"/>
        <v>Y</v>
      </c>
    </row>
    <row r="52" spans="1:9" x14ac:dyDescent="0.15">
      <c r="A52" s="26">
        <f t="shared" si="0"/>
        <v>1323</v>
      </c>
      <c r="B52" s="27" t="s">
        <v>1855</v>
      </c>
      <c r="C52" s="26" t="s">
        <v>245</v>
      </c>
      <c r="D52" s="26">
        <v>5</v>
      </c>
      <c r="E52" s="26">
        <v>-64</v>
      </c>
      <c r="F52" s="26">
        <v>27.2</v>
      </c>
      <c r="G52" s="26">
        <v>26.09</v>
      </c>
      <c r="I52" s="26" t="str">
        <f t="shared" si="1"/>
        <v>Y</v>
      </c>
    </row>
    <row r="53" spans="1:9" x14ac:dyDescent="0.15">
      <c r="A53" s="26">
        <f t="shared" si="0"/>
        <v>1324</v>
      </c>
      <c r="B53" s="27" t="s">
        <v>1856</v>
      </c>
      <c r="C53" s="26" t="s">
        <v>246</v>
      </c>
      <c r="D53" s="26">
        <v>0</v>
      </c>
      <c r="E53" s="26">
        <v>0</v>
      </c>
      <c r="F53" s="26">
        <v>11.45</v>
      </c>
      <c r="G53" s="26">
        <v>11.13</v>
      </c>
      <c r="I53" s="26" t="str">
        <f t="shared" si="1"/>
        <v>Y</v>
      </c>
    </row>
    <row r="54" spans="1:9" x14ac:dyDescent="0.15">
      <c r="A54" s="26">
        <f t="shared" si="0"/>
        <v>1325</v>
      </c>
      <c r="B54" s="27" t="s">
        <v>1857</v>
      </c>
      <c r="C54" s="26" t="s">
        <v>3423</v>
      </c>
      <c r="D54" s="26">
        <v>17</v>
      </c>
      <c r="E54" s="26">
        <v>0</v>
      </c>
      <c r="F54" s="26">
        <v>21.05</v>
      </c>
      <c r="G54" s="26">
        <v>20.96</v>
      </c>
      <c r="I54" s="26" t="str">
        <f t="shared" si="1"/>
        <v>Y</v>
      </c>
    </row>
    <row r="55" spans="1:9" x14ac:dyDescent="0.15">
      <c r="A55" s="26">
        <f t="shared" si="0"/>
        <v>1326</v>
      </c>
      <c r="B55" s="27" t="s">
        <v>1858</v>
      </c>
      <c r="C55" s="26" t="s">
        <v>247</v>
      </c>
      <c r="D55" s="26">
        <v>1123</v>
      </c>
      <c r="E55" s="26">
        <v>80</v>
      </c>
      <c r="F55" s="26">
        <v>78.5</v>
      </c>
      <c r="G55" s="26">
        <v>74.45</v>
      </c>
      <c r="I55" s="26" t="str">
        <f t="shared" si="1"/>
        <v>Y</v>
      </c>
    </row>
    <row r="56" spans="1:9" x14ac:dyDescent="0.15">
      <c r="A56" s="26">
        <f t="shared" si="0"/>
        <v>1333</v>
      </c>
      <c r="B56" s="27" t="s">
        <v>1859</v>
      </c>
      <c r="C56" s="26" t="s">
        <v>248</v>
      </c>
      <c r="D56" s="26">
        <v>-22</v>
      </c>
      <c r="E56" s="26">
        <v>0</v>
      </c>
      <c r="F56" s="26">
        <v>5.41</v>
      </c>
      <c r="G56" s="26">
        <v>5.0599999999999996</v>
      </c>
      <c r="I56" s="26" t="str">
        <f t="shared" si="1"/>
        <v>Y</v>
      </c>
    </row>
    <row r="57" spans="1:9" x14ac:dyDescent="0.15">
      <c r="A57" s="26">
        <f t="shared" si="0"/>
        <v>1336</v>
      </c>
      <c r="B57" s="27" t="s">
        <v>1860</v>
      </c>
      <c r="C57" s="26" t="s">
        <v>249</v>
      </c>
      <c r="D57" s="26">
        <v>1</v>
      </c>
      <c r="E57" s="26">
        <v>0</v>
      </c>
      <c r="F57" s="26">
        <v>8.16</v>
      </c>
      <c r="G57" s="26">
        <v>8.0399999999999991</v>
      </c>
      <c r="I57" s="26" t="str">
        <f t="shared" si="1"/>
        <v>Y</v>
      </c>
    </row>
    <row r="58" spans="1:9" x14ac:dyDescent="0.15">
      <c r="A58" s="26">
        <f t="shared" si="0"/>
        <v>1337</v>
      </c>
      <c r="B58" s="27" t="s">
        <v>1861</v>
      </c>
      <c r="C58" s="26" t="s">
        <v>250</v>
      </c>
      <c r="D58" s="26">
        <v>841</v>
      </c>
      <c r="E58" s="26">
        <v>0</v>
      </c>
      <c r="F58" s="26">
        <v>20.75</v>
      </c>
      <c r="G58" s="26">
        <v>18.75</v>
      </c>
      <c r="I58" s="26" t="str">
        <f t="shared" si="1"/>
        <v>Y</v>
      </c>
    </row>
    <row r="59" spans="1:9" x14ac:dyDescent="0.15">
      <c r="A59" s="26">
        <f t="shared" si="0"/>
        <v>1338</v>
      </c>
      <c r="B59" s="27" t="s">
        <v>1862</v>
      </c>
      <c r="C59" s="26" t="s">
        <v>251</v>
      </c>
      <c r="D59" s="26">
        <v>-53</v>
      </c>
      <c r="E59" s="26">
        <v>-96</v>
      </c>
      <c r="F59" s="26">
        <v>123.5</v>
      </c>
      <c r="G59" s="26">
        <v>131.41999999999999</v>
      </c>
      <c r="I59" s="26" t="str">
        <f t="shared" si="1"/>
        <v>-</v>
      </c>
    </row>
    <row r="60" spans="1:9" x14ac:dyDescent="0.15">
      <c r="A60" s="26">
        <f t="shared" si="0"/>
        <v>1339</v>
      </c>
      <c r="B60" s="27" t="s">
        <v>1863</v>
      </c>
      <c r="C60" s="26" t="s">
        <v>252</v>
      </c>
      <c r="D60" s="26">
        <v>14</v>
      </c>
      <c r="E60" s="26">
        <v>0</v>
      </c>
      <c r="F60" s="26">
        <v>58.7</v>
      </c>
      <c r="G60" s="26">
        <v>58.51</v>
      </c>
      <c r="I60" s="26" t="str">
        <f t="shared" si="1"/>
        <v>Y</v>
      </c>
    </row>
    <row r="61" spans="1:9" x14ac:dyDescent="0.15">
      <c r="A61" s="26">
        <f t="shared" si="0"/>
        <v>1340</v>
      </c>
      <c r="B61" s="27" t="s">
        <v>1864</v>
      </c>
      <c r="C61" s="26" t="s">
        <v>253</v>
      </c>
      <c r="D61" s="26">
        <v>145</v>
      </c>
      <c r="E61" s="26">
        <v>0</v>
      </c>
      <c r="F61" s="26">
        <v>75.099999999999994</v>
      </c>
      <c r="G61" s="26">
        <v>70.69</v>
      </c>
      <c r="I61" s="26" t="str">
        <f t="shared" si="1"/>
        <v>Y</v>
      </c>
    </row>
    <row r="62" spans="1:9" x14ac:dyDescent="0.15">
      <c r="A62" s="26">
        <f t="shared" si="0"/>
        <v>1402</v>
      </c>
      <c r="B62" s="27" t="s">
        <v>1865</v>
      </c>
      <c r="C62" s="26" t="s">
        <v>254</v>
      </c>
      <c r="D62" s="26">
        <v>999</v>
      </c>
      <c r="E62" s="26">
        <v>569</v>
      </c>
      <c r="F62" s="26">
        <v>27.9</v>
      </c>
      <c r="G62" s="26">
        <v>25.73</v>
      </c>
      <c r="I62" s="26" t="str">
        <f t="shared" si="1"/>
        <v>Y</v>
      </c>
    </row>
    <row r="63" spans="1:9" x14ac:dyDescent="0.15">
      <c r="A63" s="26">
        <f t="shared" si="0"/>
        <v>1409</v>
      </c>
      <c r="B63" s="27" t="s">
        <v>1866</v>
      </c>
      <c r="C63" s="26" t="s">
        <v>255</v>
      </c>
      <c r="D63" s="26">
        <v>139</v>
      </c>
      <c r="E63" s="26">
        <v>0</v>
      </c>
      <c r="F63" s="26">
        <v>9.5500000000000007</v>
      </c>
      <c r="G63" s="26">
        <v>9.23</v>
      </c>
      <c r="I63" s="26" t="str">
        <f t="shared" si="1"/>
        <v>Y</v>
      </c>
    </row>
    <row r="64" spans="1:9" x14ac:dyDescent="0.15">
      <c r="A64" s="26">
        <f t="shared" si="0"/>
        <v>1410</v>
      </c>
      <c r="B64" s="27" t="s">
        <v>1867</v>
      </c>
      <c r="C64" s="26" t="s">
        <v>256</v>
      </c>
      <c r="D64" s="26">
        <v>0</v>
      </c>
      <c r="E64" s="26">
        <v>0</v>
      </c>
      <c r="F64" s="26">
        <v>24.4</v>
      </c>
      <c r="G64" s="26">
        <v>24.13</v>
      </c>
      <c r="I64" s="26" t="str">
        <f t="shared" si="1"/>
        <v>Y</v>
      </c>
    </row>
    <row r="65" spans="1:9" x14ac:dyDescent="0.15">
      <c r="A65" s="26">
        <f t="shared" si="0"/>
        <v>1413</v>
      </c>
      <c r="B65" s="27" t="s">
        <v>1868</v>
      </c>
      <c r="C65" s="26" t="s">
        <v>257</v>
      </c>
      <c r="D65" s="26">
        <v>2</v>
      </c>
      <c r="E65" s="26">
        <v>0</v>
      </c>
      <c r="F65" s="26">
        <v>7.07</v>
      </c>
      <c r="G65" s="26">
        <v>7.14</v>
      </c>
      <c r="I65" s="26" t="str">
        <f t="shared" si="1"/>
        <v>-</v>
      </c>
    </row>
    <row r="66" spans="1:9" x14ac:dyDescent="0.15">
      <c r="A66" s="26">
        <f t="shared" si="0"/>
        <v>1414</v>
      </c>
      <c r="B66" s="27" t="s">
        <v>1869</v>
      </c>
      <c r="C66" s="26" t="s">
        <v>258</v>
      </c>
      <c r="D66" s="26">
        <v>-213</v>
      </c>
      <c r="E66" s="26">
        <v>0</v>
      </c>
      <c r="F66" s="26">
        <v>6.5</v>
      </c>
      <c r="G66" s="26">
        <v>6.3</v>
      </c>
      <c r="I66" s="26" t="str">
        <f t="shared" si="1"/>
        <v>Y</v>
      </c>
    </row>
    <row r="67" spans="1:9" x14ac:dyDescent="0.15">
      <c r="A67" s="26">
        <f t="shared" si="0"/>
        <v>1416</v>
      </c>
      <c r="B67" s="27" t="s">
        <v>1870</v>
      </c>
      <c r="C67" s="26" t="s">
        <v>259</v>
      </c>
      <c r="D67" s="26">
        <v>-3</v>
      </c>
      <c r="E67" s="26">
        <v>0</v>
      </c>
      <c r="F67" s="26">
        <v>17.8</v>
      </c>
      <c r="G67" s="26">
        <v>17.88</v>
      </c>
      <c r="I67" s="26" t="str">
        <f t="shared" si="1"/>
        <v>-</v>
      </c>
    </row>
    <row r="68" spans="1:9" x14ac:dyDescent="0.15">
      <c r="A68" s="26">
        <f t="shared" si="0"/>
        <v>1417</v>
      </c>
      <c r="B68" s="27" t="s">
        <v>1871</v>
      </c>
      <c r="C68" s="26" t="s">
        <v>260</v>
      </c>
      <c r="D68" s="26">
        <v>11</v>
      </c>
      <c r="E68" s="26">
        <v>0</v>
      </c>
      <c r="F68" s="26">
        <v>5.58</v>
      </c>
      <c r="G68" s="26">
        <v>5.18</v>
      </c>
      <c r="I68" s="26" t="str">
        <f t="shared" si="1"/>
        <v>Y</v>
      </c>
    </row>
    <row r="69" spans="1:9" x14ac:dyDescent="0.15">
      <c r="A69" s="26">
        <f t="shared" si="0"/>
        <v>1418</v>
      </c>
      <c r="B69" s="27" t="s">
        <v>1872</v>
      </c>
      <c r="C69" s="26" t="s">
        <v>261</v>
      </c>
      <c r="D69" s="26">
        <v>0</v>
      </c>
      <c r="E69" s="26">
        <v>0</v>
      </c>
      <c r="F69" s="26">
        <v>5.6</v>
      </c>
      <c r="G69" s="26">
        <v>5.45</v>
      </c>
      <c r="I69" s="26" t="str">
        <f t="shared" si="1"/>
        <v>Y</v>
      </c>
    </row>
    <row r="70" spans="1:9" x14ac:dyDescent="0.15">
      <c r="A70" s="26">
        <f t="shared" si="0"/>
        <v>1419</v>
      </c>
      <c r="B70" s="27" t="s">
        <v>1873</v>
      </c>
      <c r="C70" s="26" t="s">
        <v>262</v>
      </c>
      <c r="D70" s="26">
        <v>8</v>
      </c>
      <c r="E70" s="26">
        <v>0</v>
      </c>
      <c r="F70" s="26">
        <v>35.799999999999997</v>
      </c>
      <c r="G70" s="26">
        <v>35.880000000000003</v>
      </c>
      <c r="I70" s="26" t="str">
        <f t="shared" si="1"/>
        <v>-</v>
      </c>
    </row>
    <row r="71" spans="1:9" x14ac:dyDescent="0.15">
      <c r="A71" s="26">
        <f t="shared" ref="A71:A134" si="2">VALUE(B71)</f>
        <v>1423</v>
      </c>
      <c r="B71" s="27" t="s">
        <v>1874</v>
      </c>
      <c r="C71" s="26" t="s">
        <v>263</v>
      </c>
      <c r="D71" s="26">
        <v>-3</v>
      </c>
      <c r="E71" s="26">
        <v>0</v>
      </c>
      <c r="F71" s="26">
        <v>6.84</v>
      </c>
      <c r="G71" s="26">
        <v>6.65</v>
      </c>
      <c r="I71" s="26" t="str">
        <f t="shared" ref="I71:I134" si="3">IF(F71&gt;G71,"Y","-")</f>
        <v>Y</v>
      </c>
    </row>
    <row r="72" spans="1:9" x14ac:dyDescent="0.15">
      <c r="A72" s="26">
        <f t="shared" si="2"/>
        <v>1432</v>
      </c>
      <c r="B72" s="27" t="s">
        <v>1875</v>
      </c>
      <c r="C72" s="26" t="s">
        <v>264</v>
      </c>
      <c r="D72" s="26">
        <v>134</v>
      </c>
      <c r="E72" s="26">
        <v>-5</v>
      </c>
      <c r="F72" s="26">
        <v>21.95</v>
      </c>
      <c r="G72" s="26">
        <v>20.91</v>
      </c>
      <c r="I72" s="26" t="str">
        <f t="shared" si="3"/>
        <v>Y</v>
      </c>
    </row>
    <row r="73" spans="1:9" x14ac:dyDescent="0.15">
      <c r="A73" s="26">
        <f t="shared" si="2"/>
        <v>1434</v>
      </c>
      <c r="B73" s="27" t="s">
        <v>1876</v>
      </c>
      <c r="C73" s="26" t="s">
        <v>265</v>
      </c>
      <c r="D73" s="26">
        <v>-58</v>
      </c>
      <c r="E73" s="26">
        <v>-100</v>
      </c>
      <c r="F73" s="26">
        <v>31.85</v>
      </c>
      <c r="G73" s="26">
        <v>30.6</v>
      </c>
      <c r="I73" s="26" t="str">
        <f t="shared" si="3"/>
        <v>Y</v>
      </c>
    </row>
    <row r="74" spans="1:9" x14ac:dyDescent="0.15">
      <c r="A74" s="26">
        <f t="shared" si="2"/>
        <v>1435</v>
      </c>
      <c r="B74" s="27" t="s">
        <v>1877</v>
      </c>
      <c r="C74" s="26" t="s">
        <v>266</v>
      </c>
      <c r="D74" s="26">
        <v>2</v>
      </c>
      <c r="E74" s="26">
        <v>0</v>
      </c>
      <c r="F74" s="26">
        <v>5</v>
      </c>
      <c r="G74" s="26">
        <v>4.72</v>
      </c>
      <c r="I74" s="26" t="str">
        <f t="shared" si="3"/>
        <v>Y</v>
      </c>
    </row>
    <row r="75" spans="1:9" x14ac:dyDescent="0.15">
      <c r="A75" s="26">
        <f t="shared" si="2"/>
        <v>1436</v>
      </c>
      <c r="B75" s="27" t="s">
        <v>1878</v>
      </c>
      <c r="C75" s="26" t="s">
        <v>267</v>
      </c>
      <c r="D75" s="26">
        <v>0</v>
      </c>
      <c r="E75" s="26">
        <v>0</v>
      </c>
      <c r="F75" s="26">
        <v>39.299999999999997</v>
      </c>
      <c r="G75" s="26">
        <v>39.93</v>
      </c>
      <c r="I75" s="26" t="str">
        <f t="shared" si="3"/>
        <v>-</v>
      </c>
    </row>
    <row r="76" spans="1:9" x14ac:dyDescent="0.15">
      <c r="A76" s="26">
        <f t="shared" si="2"/>
        <v>1437</v>
      </c>
      <c r="B76" s="27" t="s">
        <v>1879</v>
      </c>
      <c r="C76" s="26" t="s">
        <v>268</v>
      </c>
      <c r="D76" s="26">
        <v>-54</v>
      </c>
      <c r="E76" s="26">
        <v>0</v>
      </c>
      <c r="F76" s="26">
        <v>12.45</v>
      </c>
      <c r="G76" s="26">
        <v>12.03</v>
      </c>
      <c r="I76" s="26" t="str">
        <f t="shared" si="3"/>
        <v>Y</v>
      </c>
    </row>
    <row r="77" spans="1:9" x14ac:dyDescent="0.15">
      <c r="A77" s="26">
        <f t="shared" si="2"/>
        <v>1438</v>
      </c>
      <c r="B77" s="27" t="s">
        <v>1880</v>
      </c>
      <c r="C77" s="26" t="s">
        <v>269</v>
      </c>
      <c r="D77" s="26">
        <v>0</v>
      </c>
      <c r="E77" s="26">
        <v>0</v>
      </c>
      <c r="F77" s="26">
        <v>4.5</v>
      </c>
      <c r="G77" s="26">
        <v>4.4800000000000004</v>
      </c>
      <c r="I77" s="26" t="str">
        <f t="shared" si="3"/>
        <v>Y</v>
      </c>
    </row>
    <row r="78" spans="1:9" x14ac:dyDescent="0.15">
      <c r="A78" s="26">
        <f t="shared" si="2"/>
        <v>1439</v>
      </c>
      <c r="B78" s="27" t="s">
        <v>1881</v>
      </c>
      <c r="C78" s="26" t="s">
        <v>270</v>
      </c>
      <c r="D78" s="26">
        <v>-2</v>
      </c>
      <c r="E78" s="26">
        <v>0</v>
      </c>
      <c r="F78" s="26">
        <v>13.4</v>
      </c>
      <c r="G78" s="26">
        <v>13.31</v>
      </c>
      <c r="I78" s="26" t="str">
        <f t="shared" si="3"/>
        <v>Y</v>
      </c>
    </row>
    <row r="79" spans="1:9" x14ac:dyDescent="0.15">
      <c r="A79" s="26">
        <f t="shared" si="2"/>
        <v>1440</v>
      </c>
      <c r="B79" s="27" t="s">
        <v>1882</v>
      </c>
      <c r="C79" s="26" t="s">
        <v>271</v>
      </c>
      <c r="D79" s="26">
        <v>7</v>
      </c>
      <c r="E79" s="26">
        <v>0</v>
      </c>
      <c r="F79" s="26">
        <v>14.2</v>
      </c>
      <c r="G79" s="26">
        <v>13.89</v>
      </c>
      <c r="I79" s="26" t="str">
        <f t="shared" si="3"/>
        <v>Y</v>
      </c>
    </row>
    <row r="80" spans="1:9" x14ac:dyDescent="0.15">
      <c r="A80" s="26">
        <f t="shared" si="2"/>
        <v>1441</v>
      </c>
      <c r="B80" s="27" t="s">
        <v>1883</v>
      </c>
      <c r="C80" s="26" t="s">
        <v>272</v>
      </c>
      <c r="D80" s="26">
        <v>-1</v>
      </c>
      <c r="E80" s="26">
        <v>0</v>
      </c>
      <c r="F80" s="26">
        <v>7.2</v>
      </c>
      <c r="G80" s="26">
        <v>6.96</v>
      </c>
      <c r="I80" s="26" t="str">
        <f t="shared" si="3"/>
        <v>Y</v>
      </c>
    </row>
    <row r="81" spans="1:9" x14ac:dyDescent="0.15">
      <c r="A81" s="26">
        <f t="shared" si="2"/>
        <v>1442</v>
      </c>
      <c r="B81" s="27" t="s">
        <v>1884</v>
      </c>
      <c r="C81" s="26" t="s">
        <v>273</v>
      </c>
      <c r="D81" s="26">
        <v>-1</v>
      </c>
      <c r="E81" s="26">
        <v>0</v>
      </c>
      <c r="F81" s="26">
        <v>18.7</v>
      </c>
      <c r="G81" s="26">
        <v>17.27</v>
      </c>
      <c r="I81" s="26" t="str">
        <f t="shared" si="3"/>
        <v>Y</v>
      </c>
    </row>
    <row r="82" spans="1:9" x14ac:dyDescent="0.15">
      <c r="A82" s="26">
        <f t="shared" si="2"/>
        <v>1443</v>
      </c>
      <c r="B82" s="27" t="s">
        <v>1885</v>
      </c>
      <c r="C82" s="26" t="s">
        <v>274</v>
      </c>
      <c r="D82" s="26">
        <v>0</v>
      </c>
      <c r="E82" s="26">
        <v>0</v>
      </c>
      <c r="F82" s="26">
        <v>5.2</v>
      </c>
      <c r="G82" s="26">
        <v>5.16</v>
      </c>
      <c r="I82" s="26" t="str">
        <f t="shared" si="3"/>
        <v>Y</v>
      </c>
    </row>
    <row r="83" spans="1:9" x14ac:dyDescent="0.15">
      <c r="A83" s="26">
        <f t="shared" si="2"/>
        <v>1444</v>
      </c>
      <c r="B83" s="27" t="s">
        <v>1886</v>
      </c>
      <c r="C83" s="26" t="s">
        <v>275</v>
      </c>
      <c r="D83" s="26">
        <v>173</v>
      </c>
      <c r="E83" s="26">
        <v>350</v>
      </c>
      <c r="F83" s="26">
        <v>9.69</v>
      </c>
      <c r="G83" s="26">
        <v>9.24</v>
      </c>
      <c r="I83" s="26" t="str">
        <f t="shared" si="3"/>
        <v>Y</v>
      </c>
    </row>
    <row r="84" spans="1:9" x14ac:dyDescent="0.15">
      <c r="A84" s="26">
        <f t="shared" si="2"/>
        <v>1445</v>
      </c>
      <c r="B84" s="27" t="s">
        <v>1887</v>
      </c>
      <c r="C84" s="26" t="s">
        <v>276</v>
      </c>
      <c r="D84" s="26">
        <v>2</v>
      </c>
      <c r="E84" s="26">
        <v>0</v>
      </c>
      <c r="F84" s="26">
        <v>9.2200000000000006</v>
      </c>
      <c r="G84" s="26">
        <v>9.14</v>
      </c>
      <c r="I84" s="26" t="str">
        <f t="shared" si="3"/>
        <v>Y</v>
      </c>
    </row>
    <row r="85" spans="1:9" x14ac:dyDescent="0.15">
      <c r="A85" s="26">
        <f t="shared" si="2"/>
        <v>1446</v>
      </c>
      <c r="B85" s="27" t="s">
        <v>1888</v>
      </c>
      <c r="C85" s="26" t="s">
        <v>277</v>
      </c>
      <c r="D85" s="26">
        <v>-4</v>
      </c>
      <c r="E85" s="26">
        <v>0</v>
      </c>
      <c r="F85" s="26">
        <v>22</v>
      </c>
      <c r="G85" s="26">
        <v>20.12</v>
      </c>
      <c r="I85" s="26" t="str">
        <f t="shared" si="3"/>
        <v>Y</v>
      </c>
    </row>
    <row r="86" spans="1:9" x14ac:dyDescent="0.15">
      <c r="A86" s="26">
        <f t="shared" si="2"/>
        <v>1447</v>
      </c>
      <c r="B86" s="27" t="s">
        <v>1889</v>
      </c>
      <c r="C86" s="26" t="s">
        <v>278</v>
      </c>
      <c r="D86" s="26">
        <v>-92</v>
      </c>
      <c r="E86" s="26">
        <v>0</v>
      </c>
      <c r="F86" s="26">
        <v>8.84</v>
      </c>
      <c r="G86" s="26">
        <v>8.24</v>
      </c>
      <c r="I86" s="26" t="str">
        <f t="shared" si="3"/>
        <v>Y</v>
      </c>
    </row>
    <row r="87" spans="1:9" x14ac:dyDescent="0.15">
      <c r="A87" s="26">
        <f t="shared" si="2"/>
        <v>1449</v>
      </c>
      <c r="B87" s="27" t="s">
        <v>1890</v>
      </c>
      <c r="C87" s="26" t="s">
        <v>279</v>
      </c>
      <c r="D87" s="26">
        <v>-3</v>
      </c>
      <c r="E87" s="26">
        <v>0</v>
      </c>
      <c r="F87" s="26">
        <v>5.3</v>
      </c>
      <c r="G87" s="26">
        <v>5.38</v>
      </c>
      <c r="I87" s="26" t="str">
        <f t="shared" si="3"/>
        <v>-</v>
      </c>
    </row>
    <row r="88" spans="1:9" x14ac:dyDescent="0.15">
      <c r="A88" s="26">
        <f t="shared" si="2"/>
        <v>1451</v>
      </c>
      <c r="B88" s="27" t="s">
        <v>1891</v>
      </c>
      <c r="C88" s="26" t="s">
        <v>280</v>
      </c>
      <c r="D88" s="26">
        <v>-33</v>
      </c>
      <c r="E88" s="26">
        <v>0</v>
      </c>
      <c r="F88" s="26">
        <v>23.2</v>
      </c>
      <c r="G88" s="26">
        <v>22.72</v>
      </c>
      <c r="I88" s="26" t="str">
        <f t="shared" si="3"/>
        <v>Y</v>
      </c>
    </row>
    <row r="89" spans="1:9" x14ac:dyDescent="0.15">
      <c r="A89" s="26">
        <f t="shared" si="2"/>
        <v>1452</v>
      </c>
      <c r="B89" s="27" t="s">
        <v>1892</v>
      </c>
      <c r="C89" s="26" t="s">
        <v>281</v>
      </c>
      <c r="D89" s="26">
        <v>-230</v>
      </c>
      <c r="E89" s="26">
        <v>0</v>
      </c>
      <c r="F89" s="26">
        <v>24.95</v>
      </c>
      <c r="G89" s="26">
        <v>23.91</v>
      </c>
      <c r="I89" s="26" t="str">
        <f t="shared" si="3"/>
        <v>Y</v>
      </c>
    </row>
    <row r="90" spans="1:9" x14ac:dyDescent="0.15">
      <c r="A90" s="26">
        <f t="shared" si="2"/>
        <v>1453</v>
      </c>
      <c r="B90" s="27" t="s">
        <v>1893</v>
      </c>
      <c r="C90" s="26" t="s">
        <v>282</v>
      </c>
      <c r="D90" s="26">
        <v>0</v>
      </c>
      <c r="E90" s="26">
        <v>0</v>
      </c>
      <c r="F90" s="26">
        <v>8.6</v>
      </c>
      <c r="G90" s="26">
        <v>8.0299999999999994</v>
      </c>
      <c r="I90" s="26" t="str">
        <f t="shared" si="3"/>
        <v>Y</v>
      </c>
    </row>
    <row r="91" spans="1:9" x14ac:dyDescent="0.15">
      <c r="A91" s="26">
        <f t="shared" si="2"/>
        <v>1454</v>
      </c>
      <c r="B91" s="27" t="s">
        <v>1894</v>
      </c>
      <c r="C91" s="26" t="s">
        <v>283</v>
      </c>
      <c r="D91" s="26">
        <v>-21</v>
      </c>
      <c r="E91" s="26">
        <v>0</v>
      </c>
      <c r="F91" s="26">
        <v>9.1999999999999993</v>
      </c>
      <c r="G91" s="26">
        <v>8.9600000000000009</v>
      </c>
      <c r="I91" s="26" t="str">
        <f t="shared" si="3"/>
        <v>Y</v>
      </c>
    </row>
    <row r="92" spans="1:9" x14ac:dyDescent="0.15">
      <c r="A92" s="26">
        <f t="shared" si="2"/>
        <v>1455</v>
      </c>
      <c r="B92" s="27" t="s">
        <v>1895</v>
      </c>
      <c r="C92" s="26" t="s">
        <v>284</v>
      </c>
      <c r="D92" s="26">
        <v>-21</v>
      </c>
      <c r="E92" s="26">
        <v>0</v>
      </c>
      <c r="F92" s="26">
        <v>9.4600000000000009</v>
      </c>
      <c r="G92" s="26">
        <v>9.06</v>
      </c>
      <c r="I92" s="26" t="str">
        <f t="shared" si="3"/>
        <v>Y</v>
      </c>
    </row>
    <row r="93" spans="1:9" x14ac:dyDescent="0.15">
      <c r="A93" s="26">
        <f t="shared" si="2"/>
        <v>1456</v>
      </c>
      <c r="B93" s="27" t="s">
        <v>1896</v>
      </c>
      <c r="C93" s="26" t="s">
        <v>285</v>
      </c>
      <c r="D93" s="26">
        <v>0</v>
      </c>
      <c r="E93" s="26">
        <v>0</v>
      </c>
      <c r="F93" s="26">
        <v>8.5</v>
      </c>
      <c r="G93" s="26">
        <v>8.86</v>
      </c>
      <c r="I93" s="26" t="str">
        <f t="shared" si="3"/>
        <v>-</v>
      </c>
    </row>
    <row r="94" spans="1:9" x14ac:dyDescent="0.15">
      <c r="A94" s="26">
        <f t="shared" si="2"/>
        <v>1457</v>
      </c>
      <c r="B94" s="27" t="s">
        <v>1897</v>
      </c>
      <c r="C94" s="26" t="s">
        <v>286</v>
      </c>
      <c r="D94" s="26">
        <v>-69</v>
      </c>
      <c r="E94" s="26">
        <v>0</v>
      </c>
      <c r="F94" s="26">
        <v>12.65</v>
      </c>
      <c r="G94" s="26">
        <v>12.08</v>
      </c>
      <c r="I94" s="26" t="str">
        <f t="shared" si="3"/>
        <v>Y</v>
      </c>
    </row>
    <row r="95" spans="1:9" x14ac:dyDescent="0.15">
      <c r="A95" s="26">
        <f t="shared" si="2"/>
        <v>1459</v>
      </c>
      <c r="B95" s="27" t="s">
        <v>1898</v>
      </c>
      <c r="C95" s="26" t="s">
        <v>287</v>
      </c>
      <c r="D95" s="26">
        <v>70</v>
      </c>
      <c r="E95" s="26">
        <v>0</v>
      </c>
      <c r="F95" s="26">
        <v>10.7</v>
      </c>
      <c r="G95" s="26">
        <v>10.34</v>
      </c>
      <c r="I95" s="26" t="str">
        <f t="shared" si="3"/>
        <v>Y</v>
      </c>
    </row>
    <row r="96" spans="1:9" x14ac:dyDescent="0.15">
      <c r="A96" s="26">
        <f t="shared" si="2"/>
        <v>1460</v>
      </c>
      <c r="B96" s="27" t="s">
        <v>1899</v>
      </c>
      <c r="C96" s="26" t="s">
        <v>288</v>
      </c>
      <c r="D96" s="26">
        <v>456</v>
      </c>
      <c r="E96" s="26">
        <v>0</v>
      </c>
      <c r="F96" s="26">
        <v>16</v>
      </c>
      <c r="G96" s="26">
        <v>16.29</v>
      </c>
      <c r="I96" s="26" t="str">
        <f t="shared" si="3"/>
        <v>-</v>
      </c>
    </row>
    <row r="97" spans="1:9" x14ac:dyDescent="0.15">
      <c r="A97" s="26">
        <f t="shared" si="2"/>
        <v>1463</v>
      </c>
      <c r="B97" s="27" t="s">
        <v>1900</v>
      </c>
      <c r="C97" s="26" t="s">
        <v>289</v>
      </c>
      <c r="D97" s="26">
        <v>-3</v>
      </c>
      <c r="E97" s="26">
        <v>0</v>
      </c>
      <c r="F97" s="26">
        <v>18.2</v>
      </c>
      <c r="G97" s="26">
        <v>17.260000000000002</v>
      </c>
      <c r="I97" s="26" t="str">
        <f t="shared" si="3"/>
        <v>Y</v>
      </c>
    </row>
    <row r="98" spans="1:9" x14ac:dyDescent="0.15">
      <c r="A98" s="26">
        <f t="shared" si="2"/>
        <v>1464</v>
      </c>
      <c r="B98" s="27" t="s">
        <v>1901</v>
      </c>
      <c r="C98" s="26" t="s">
        <v>290</v>
      </c>
      <c r="D98" s="26">
        <v>-195</v>
      </c>
      <c r="E98" s="26">
        <v>0</v>
      </c>
      <c r="F98" s="26">
        <v>37.549999999999997</v>
      </c>
      <c r="G98" s="26">
        <v>38.700000000000003</v>
      </c>
      <c r="I98" s="26" t="str">
        <f t="shared" si="3"/>
        <v>-</v>
      </c>
    </row>
    <row r="99" spans="1:9" x14ac:dyDescent="0.15">
      <c r="A99" s="26">
        <f t="shared" si="2"/>
        <v>1465</v>
      </c>
      <c r="B99" s="27" t="s">
        <v>1902</v>
      </c>
      <c r="C99" s="26" t="s">
        <v>291</v>
      </c>
      <c r="D99" s="26">
        <v>0</v>
      </c>
      <c r="E99" s="26">
        <v>0</v>
      </c>
      <c r="F99" s="26">
        <v>14.65</v>
      </c>
      <c r="G99" s="26">
        <v>14.61</v>
      </c>
      <c r="I99" s="26" t="str">
        <f t="shared" si="3"/>
        <v>Y</v>
      </c>
    </row>
    <row r="100" spans="1:9" x14ac:dyDescent="0.15">
      <c r="A100" s="26">
        <f t="shared" si="2"/>
        <v>1466</v>
      </c>
      <c r="B100" s="27" t="s">
        <v>1903</v>
      </c>
      <c r="C100" s="26" t="s">
        <v>292</v>
      </c>
      <c r="D100" s="26">
        <v>-2</v>
      </c>
      <c r="E100" s="26">
        <v>0</v>
      </c>
      <c r="F100" s="26">
        <v>16.3</v>
      </c>
      <c r="G100" s="26">
        <v>15.87</v>
      </c>
      <c r="I100" s="26" t="str">
        <f t="shared" si="3"/>
        <v>Y</v>
      </c>
    </row>
    <row r="101" spans="1:9" x14ac:dyDescent="0.15">
      <c r="A101" s="26">
        <f t="shared" si="2"/>
        <v>1467</v>
      </c>
      <c r="B101" s="27" t="s">
        <v>1904</v>
      </c>
      <c r="C101" s="26" t="s">
        <v>293</v>
      </c>
      <c r="D101" s="26">
        <v>27</v>
      </c>
      <c r="E101" s="26">
        <v>0</v>
      </c>
      <c r="F101" s="26">
        <v>16</v>
      </c>
      <c r="G101" s="26">
        <v>15.99</v>
      </c>
      <c r="I101" s="26" t="str">
        <f t="shared" si="3"/>
        <v>Y</v>
      </c>
    </row>
    <row r="102" spans="1:9" x14ac:dyDescent="0.15">
      <c r="A102" s="26">
        <f t="shared" si="2"/>
        <v>1468</v>
      </c>
      <c r="B102" s="27" t="s">
        <v>1905</v>
      </c>
      <c r="C102" s="26" t="s">
        <v>294</v>
      </c>
      <c r="D102" s="26">
        <v>5</v>
      </c>
      <c r="E102" s="26">
        <v>0</v>
      </c>
      <c r="F102" s="26">
        <v>10.050000000000001</v>
      </c>
      <c r="G102" s="26">
        <v>9.9499999999999993</v>
      </c>
      <c r="I102" s="26" t="str">
        <f t="shared" si="3"/>
        <v>Y</v>
      </c>
    </row>
    <row r="103" spans="1:9" x14ac:dyDescent="0.15">
      <c r="A103" s="26">
        <f t="shared" si="2"/>
        <v>1469</v>
      </c>
      <c r="B103" s="27" t="s">
        <v>1906</v>
      </c>
      <c r="C103" s="26" t="s">
        <v>295</v>
      </c>
      <c r="D103" s="26">
        <v>0</v>
      </c>
      <c r="E103" s="26">
        <v>0</v>
      </c>
      <c r="F103" s="26">
        <v>12.9</v>
      </c>
      <c r="G103" s="26">
        <v>12.75</v>
      </c>
      <c r="I103" s="26" t="str">
        <f t="shared" si="3"/>
        <v>Y</v>
      </c>
    </row>
    <row r="104" spans="1:9" x14ac:dyDescent="0.15">
      <c r="A104" s="26">
        <f t="shared" si="2"/>
        <v>1470</v>
      </c>
      <c r="B104" s="27" t="s">
        <v>1907</v>
      </c>
      <c r="C104" s="26" t="s">
        <v>296</v>
      </c>
      <c r="D104" s="26">
        <v>0</v>
      </c>
      <c r="E104" s="26">
        <v>0</v>
      </c>
      <c r="F104" s="26">
        <v>18.399999999999999</v>
      </c>
      <c r="G104" s="26">
        <v>18.86</v>
      </c>
      <c r="I104" s="26" t="str">
        <f t="shared" si="3"/>
        <v>-</v>
      </c>
    </row>
    <row r="105" spans="1:9" x14ac:dyDescent="0.15">
      <c r="A105" s="26">
        <f t="shared" si="2"/>
        <v>1471</v>
      </c>
      <c r="B105" s="27" t="s">
        <v>1908</v>
      </c>
      <c r="C105" s="26" t="s">
        <v>297</v>
      </c>
      <c r="D105" s="26">
        <v>-56</v>
      </c>
      <c r="E105" s="26">
        <v>0</v>
      </c>
      <c r="F105" s="26">
        <v>6.06</v>
      </c>
      <c r="G105" s="26">
        <v>5.7</v>
      </c>
      <c r="I105" s="26" t="str">
        <f t="shared" si="3"/>
        <v>Y</v>
      </c>
    </row>
    <row r="106" spans="1:9" x14ac:dyDescent="0.15">
      <c r="A106" s="26">
        <f t="shared" si="2"/>
        <v>1472</v>
      </c>
      <c r="B106" s="27" t="s">
        <v>1909</v>
      </c>
      <c r="C106" s="26" t="s">
        <v>298</v>
      </c>
      <c r="D106" s="26">
        <v>0</v>
      </c>
      <c r="E106" s="26">
        <v>0</v>
      </c>
      <c r="F106" s="26">
        <v>12.3</v>
      </c>
      <c r="G106" s="26">
        <v>12.27</v>
      </c>
      <c r="I106" s="26" t="str">
        <f t="shared" si="3"/>
        <v>Y</v>
      </c>
    </row>
    <row r="107" spans="1:9" x14ac:dyDescent="0.15">
      <c r="A107" s="26">
        <f t="shared" si="2"/>
        <v>1473</v>
      </c>
      <c r="B107" s="27" t="s">
        <v>1910</v>
      </c>
      <c r="C107" s="26" t="s">
        <v>299</v>
      </c>
      <c r="D107" s="26">
        <v>336</v>
      </c>
      <c r="E107" s="26">
        <v>0</v>
      </c>
      <c r="F107" s="26">
        <v>37.35</v>
      </c>
      <c r="G107" s="26">
        <v>37.08</v>
      </c>
      <c r="I107" s="26" t="str">
        <f t="shared" si="3"/>
        <v>Y</v>
      </c>
    </row>
    <row r="108" spans="1:9" x14ac:dyDescent="0.15">
      <c r="A108" s="26">
        <f t="shared" si="2"/>
        <v>1474</v>
      </c>
      <c r="B108" s="27" t="s">
        <v>1911</v>
      </c>
      <c r="C108" s="26" t="s">
        <v>300</v>
      </c>
      <c r="D108" s="26">
        <v>-4</v>
      </c>
      <c r="E108" s="26">
        <v>0</v>
      </c>
      <c r="F108" s="26">
        <v>10.7</v>
      </c>
      <c r="G108" s="26">
        <v>10.48</v>
      </c>
      <c r="I108" s="26" t="str">
        <f t="shared" si="3"/>
        <v>Y</v>
      </c>
    </row>
    <row r="109" spans="1:9" x14ac:dyDescent="0.15">
      <c r="A109" s="26">
        <f t="shared" si="2"/>
        <v>1475</v>
      </c>
      <c r="B109" s="27" t="s">
        <v>1912</v>
      </c>
      <c r="C109" s="26" t="s">
        <v>301</v>
      </c>
      <c r="D109" s="26">
        <v>1</v>
      </c>
      <c r="E109" s="26">
        <v>0</v>
      </c>
      <c r="F109" s="26">
        <v>8.5399999999999991</v>
      </c>
      <c r="G109" s="26">
        <v>8.14</v>
      </c>
      <c r="I109" s="26" t="str">
        <f t="shared" si="3"/>
        <v>Y</v>
      </c>
    </row>
    <row r="110" spans="1:9" x14ac:dyDescent="0.15">
      <c r="A110" s="26">
        <f t="shared" si="2"/>
        <v>1476</v>
      </c>
      <c r="B110" s="27" t="s">
        <v>1913</v>
      </c>
      <c r="C110" s="26" t="s">
        <v>302</v>
      </c>
      <c r="D110" s="26">
        <v>-444</v>
      </c>
      <c r="E110" s="26">
        <v>0</v>
      </c>
      <c r="F110" s="26">
        <v>410</v>
      </c>
      <c r="G110" s="26">
        <v>420.88</v>
      </c>
      <c r="I110" s="26" t="str">
        <f t="shared" si="3"/>
        <v>-</v>
      </c>
    </row>
    <row r="111" spans="1:9" x14ac:dyDescent="0.15">
      <c r="A111" s="26">
        <f t="shared" si="2"/>
        <v>1477</v>
      </c>
      <c r="B111" s="27" t="s">
        <v>1914</v>
      </c>
      <c r="C111" s="26" t="s">
        <v>303</v>
      </c>
      <c r="D111" s="26">
        <v>-1084</v>
      </c>
      <c r="E111" s="26">
        <v>-476</v>
      </c>
      <c r="F111" s="26">
        <v>196</v>
      </c>
      <c r="G111" s="26">
        <v>207.46</v>
      </c>
      <c r="I111" s="26" t="str">
        <f t="shared" si="3"/>
        <v>-</v>
      </c>
    </row>
    <row r="112" spans="1:9" x14ac:dyDescent="0.15">
      <c r="A112" s="26">
        <f t="shared" si="2"/>
        <v>1503</v>
      </c>
      <c r="B112" s="27" t="s">
        <v>1915</v>
      </c>
      <c r="C112" s="26" t="s">
        <v>304</v>
      </c>
      <c r="D112" s="26">
        <v>-1</v>
      </c>
      <c r="E112" s="26">
        <v>0</v>
      </c>
      <c r="F112" s="26">
        <v>39.6</v>
      </c>
      <c r="G112" s="26">
        <v>39.659999999999997</v>
      </c>
      <c r="I112" s="26" t="str">
        <f t="shared" si="3"/>
        <v>-</v>
      </c>
    </row>
    <row r="113" spans="1:9" x14ac:dyDescent="0.15">
      <c r="A113" s="26">
        <f t="shared" si="2"/>
        <v>1504</v>
      </c>
      <c r="B113" s="27" t="s">
        <v>1916</v>
      </c>
      <c r="C113" s="26" t="s">
        <v>305</v>
      </c>
      <c r="D113" s="26">
        <v>814</v>
      </c>
      <c r="E113" s="26">
        <v>0</v>
      </c>
      <c r="F113" s="26">
        <v>27.6</v>
      </c>
      <c r="G113" s="26">
        <v>26.99</v>
      </c>
      <c r="I113" s="26" t="str">
        <f t="shared" si="3"/>
        <v>Y</v>
      </c>
    </row>
    <row r="114" spans="1:9" x14ac:dyDescent="0.15">
      <c r="A114" s="26">
        <f t="shared" si="2"/>
        <v>1506</v>
      </c>
      <c r="B114" s="27" t="s">
        <v>1917</v>
      </c>
      <c r="C114" s="26" t="s">
        <v>306</v>
      </c>
      <c r="D114" s="26">
        <v>-7</v>
      </c>
      <c r="E114" s="26">
        <v>0</v>
      </c>
      <c r="F114" s="26">
        <v>15.5</v>
      </c>
      <c r="G114" s="26">
        <v>15.28</v>
      </c>
      <c r="I114" s="26" t="str">
        <f t="shared" si="3"/>
        <v>Y</v>
      </c>
    </row>
    <row r="115" spans="1:9" x14ac:dyDescent="0.15">
      <c r="A115" s="26">
        <f t="shared" si="2"/>
        <v>1507</v>
      </c>
      <c r="B115" s="27" t="s">
        <v>1918</v>
      </c>
      <c r="C115" s="26" t="s">
        <v>307</v>
      </c>
      <c r="D115" s="26">
        <v>24</v>
      </c>
      <c r="E115" s="26">
        <v>0</v>
      </c>
      <c r="F115" s="26">
        <v>50.7</v>
      </c>
      <c r="G115" s="26">
        <v>47.56</v>
      </c>
      <c r="I115" s="26" t="str">
        <f t="shared" si="3"/>
        <v>Y</v>
      </c>
    </row>
    <row r="116" spans="1:9" x14ac:dyDescent="0.15">
      <c r="A116" s="26">
        <f t="shared" si="2"/>
        <v>1512</v>
      </c>
      <c r="B116" s="27" t="s">
        <v>1919</v>
      </c>
      <c r="C116" s="26" t="s">
        <v>308</v>
      </c>
      <c r="D116" s="26">
        <v>-208</v>
      </c>
      <c r="E116" s="26">
        <v>0</v>
      </c>
      <c r="F116" s="26">
        <v>5.99</v>
      </c>
      <c r="G116" s="26">
        <v>5.25</v>
      </c>
      <c r="I116" s="26" t="str">
        <f t="shared" si="3"/>
        <v>Y</v>
      </c>
    </row>
    <row r="117" spans="1:9" x14ac:dyDescent="0.15">
      <c r="A117" s="26">
        <f t="shared" si="2"/>
        <v>1513</v>
      </c>
      <c r="B117" s="27" t="s">
        <v>1920</v>
      </c>
      <c r="C117" s="26" t="s">
        <v>309</v>
      </c>
      <c r="D117" s="26">
        <v>-116</v>
      </c>
      <c r="E117" s="26">
        <v>0</v>
      </c>
      <c r="F117" s="26">
        <v>19.3</v>
      </c>
      <c r="G117" s="26">
        <v>18.829999999999998</v>
      </c>
      <c r="I117" s="26" t="str">
        <f t="shared" si="3"/>
        <v>Y</v>
      </c>
    </row>
    <row r="118" spans="1:9" x14ac:dyDescent="0.15">
      <c r="A118" s="26">
        <f t="shared" si="2"/>
        <v>1514</v>
      </c>
      <c r="B118" s="27" t="s">
        <v>1921</v>
      </c>
      <c r="C118" s="26" t="s">
        <v>310</v>
      </c>
      <c r="D118" s="26">
        <v>1</v>
      </c>
      <c r="E118" s="26">
        <v>0</v>
      </c>
      <c r="F118" s="26">
        <v>8.66</v>
      </c>
      <c r="G118" s="26">
        <v>8.43</v>
      </c>
      <c r="I118" s="26" t="str">
        <f t="shared" si="3"/>
        <v>Y</v>
      </c>
    </row>
    <row r="119" spans="1:9" x14ac:dyDescent="0.15">
      <c r="A119" s="26">
        <f t="shared" si="2"/>
        <v>1515</v>
      </c>
      <c r="B119" s="27" t="s">
        <v>1922</v>
      </c>
      <c r="C119" s="26" t="s">
        <v>311</v>
      </c>
      <c r="D119" s="26">
        <v>8</v>
      </c>
      <c r="E119" s="26">
        <v>0</v>
      </c>
      <c r="F119" s="26">
        <v>11.05</v>
      </c>
      <c r="G119" s="26">
        <v>10.7</v>
      </c>
      <c r="I119" s="26" t="str">
        <f t="shared" si="3"/>
        <v>Y</v>
      </c>
    </row>
    <row r="120" spans="1:9" x14ac:dyDescent="0.15">
      <c r="A120" s="26">
        <f t="shared" si="2"/>
        <v>1516</v>
      </c>
      <c r="B120" s="27" t="s">
        <v>1923</v>
      </c>
      <c r="C120" s="26" t="s">
        <v>312</v>
      </c>
      <c r="D120" s="26">
        <v>0</v>
      </c>
      <c r="E120" s="26">
        <v>0</v>
      </c>
      <c r="F120" s="26">
        <v>20.9</v>
      </c>
      <c r="G120" s="26">
        <v>21.08</v>
      </c>
      <c r="I120" s="26" t="str">
        <f t="shared" si="3"/>
        <v>-</v>
      </c>
    </row>
    <row r="121" spans="1:9" x14ac:dyDescent="0.15">
      <c r="A121" s="26">
        <f t="shared" si="2"/>
        <v>1517</v>
      </c>
      <c r="B121" s="27" t="s">
        <v>1924</v>
      </c>
      <c r="C121" s="26" t="s">
        <v>313</v>
      </c>
      <c r="D121" s="26">
        <v>1</v>
      </c>
      <c r="E121" s="26">
        <v>0</v>
      </c>
      <c r="F121" s="26">
        <v>11.7</v>
      </c>
      <c r="G121" s="26">
        <v>11.51</v>
      </c>
      <c r="I121" s="26" t="str">
        <f t="shared" si="3"/>
        <v>Y</v>
      </c>
    </row>
    <row r="122" spans="1:9" x14ac:dyDescent="0.15">
      <c r="A122" s="26">
        <f t="shared" si="2"/>
        <v>1519</v>
      </c>
      <c r="B122" s="27" t="s">
        <v>1925</v>
      </c>
      <c r="C122" s="26" t="s">
        <v>314</v>
      </c>
      <c r="D122" s="26">
        <v>42</v>
      </c>
      <c r="E122" s="26">
        <v>0</v>
      </c>
      <c r="F122" s="26">
        <v>16.2</v>
      </c>
      <c r="G122" s="26">
        <v>16.3</v>
      </c>
      <c r="I122" s="26" t="str">
        <f t="shared" si="3"/>
        <v>-</v>
      </c>
    </row>
    <row r="123" spans="1:9" x14ac:dyDescent="0.15">
      <c r="A123" s="26">
        <f t="shared" si="2"/>
        <v>1521</v>
      </c>
      <c r="B123" s="27" t="s">
        <v>1926</v>
      </c>
      <c r="C123" s="26" t="s">
        <v>315</v>
      </c>
      <c r="D123" s="26">
        <v>-18</v>
      </c>
      <c r="E123" s="26">
        <v>0</v>
      </c>
      <c r="F123" s="26">
        <v>83.5</v>
      </c>
      <c r="G123" s="26">
        <v>84.13</v>
      </c>
      <c r="I123" s="26" t="str">
        <f t="shared" si="3"/>
        <v>-</v>
      </c>
    </row>
    <row r="124" spans="1:9" x14ac:dyDescent="0.15">
      <c r="A124" s="26">
        <f t="shared" si="2"/>
        <v>1522</v>
      </c>
      <c r="B124" s="27" t="s">
        <v>1927</v>
      </c>
      <c r="C124" s="26" t="s">
        <v>316</v>
      </c>
      <c r="D124" s="26">
        <v>141</v>
      </c>
      <c r="E124" s="26">
        <v>0</v>
      </c>
      <c r="F124" s="26">
        <v>26.2</v>
      </c>
      <c r="G124" s="26">
        <v>26.55</v>
      </c>
      <c r="I124" s="26" t="str">
        <f t="shared" si="3"/>
        <v>-</v>
      </c>
    </row>
    <row r="125" spans="1:9" x14ac:dyDescent="0.15">
      <c r="A125" s="26">
        <f t="shared" si="2"/>
        <v>1524</v>
      </c>
      <c r="B125" s="27" t="s">
        <v>1928</v>
      </c>
      <c r="C125" s="26" t="s">
        <v>317</v>
      </c>
      <c r="D125" s="26">
        <v>-25</v>
      </c>
      <c r="E125" s="26">
        <v>0</v>
      </c>
      <c r="F125" s="26">
        <v>6.97</v>
      </c>
      <c r="G125" s="26">
        <v>6.8</v>
      </c>
      <c r="I125" s="26" t="str">
        <f t="shared" si="3"/>
        <v>Y</v>
      </c>
    </row>
    <row r="126" spans="1:9" x14ac:dyDescent="0.15">
      <c r="A126" s="26">
        <f t="shared" si="2"/>
        <v>1525</v>
      </c>
      <c r="B126" s="27" t="s">
        <v>1929</v>
      </c>
      <c r="C126" s="26" t="s">
        <v>318</v>
      </c>
      <c r="D126" s="26">
        <v>-10</v>
      </c>
      <c r="E126" s="26">
        <v>-123</v>
      </c>
      <c r="F126" s="26">
        <v>105.5</v>
      </c>
      <c r="G126" s="26">
        <v>89.33</v>
      </c>
      <c r="I126" s="26" t="str">
        <f t="shared" si="3"/>
        <v>Y</v>
      </c>
    </row>
    <row r="127" spans="1:9" x14ac:dyDescent="0.15">
      <c r="A127" s="26">
        <f t="shared" si="2"/>
        <v>1526</v>
      </c>
      <c r="B127" s="27" t="s">
        <v>1930</v>
      </c>
      <c r="C127" s="26" t="s">
        <v>319</v>
      </c>
      <c r="D127" s="26">
        <v>0</v>
      </c>
      <c r="E127" s="26">
        <v>0</v>
      </c>
      <c r="F127" s="26">
        <v>14.3</v>
      </c>
      <c r="G127" s="26">
        <v>13.67</v>
      </c>
      <c r="I127" s="26" t="str">
        <f t="shared" si="3"/>
        <v>Y</v>
      </c>
    </row>
    <row r="128" spans="1:9" x14ac:dyDescent="0.15">
      <c r="A128" s="26">
        <f t="shared" si="2"/>
        <v>1527</v>
      </c>
      <c r="B128" s="27" t="s">
        <v>1931</v>
      </c>
      <c r="C128" s="26" t="s">
        <v>320</v>
      </c>
      <c r="D128" s="26">
        <v>59</v>
      </c>
      <c r="E128" s="26">
        <v>-30</v>
      </c>
      <c r="F128" s="26">
        <v>70.400000000000006</v>
      </c>
      <c r="G128" s="26">
        <v>68.03</v>
      </c>
      <c r="I128" s="26" t="str">
        <f t="shared" si="3"/>
        <v>Y</v>
      </c>
    </row>
    <row r="129" spans="1:9" x14ac:dyDescent="0.15">
      <c r="A129" s="26">
        <f t="shared" si="2"/>
        <v>1528</v>
      </c>
      <c r="B129" s="27" t="s">
        <v>1932</v>
      </c>
      <c r="C129" s="26" t="s">
        <v>321</v>
      </c>
      <c r="D129" s="26">
        <v>0</v>
      </c>
      <c r="E129" s="26">
        <v>0</v>
      </c>
      <c r="F129" s="26">
        <v>9.08</v>
      </c>
      <c r="G129" s="26">
        <v>9.07</v>
      </c>
      <c r="I129" s="26" t="str">
        <f t="shared" si="3"/>
        <v>Y</v>
      </c>
    </row>
    <row r="130" spans="1:9" x14ac:dyDescent="0.15">
      <c r="A130" s="26">
        <f t="shared" si="2"/>
        <v>1529</v>
      </c>
      <c r="B130" s="27" t="s">
        <v>1933</v>
      </c>
      <c r="C130" s="26" t="s">
        <v>322</v>
      </c>
      <c r="D130" s="26">
        <v>0</v>
      </c>
      <c r="E130" s="26">
        <v>0</v>
      </c>
      <c r="F130" s="26">
        <v>3.47</v>
      </c>
      <c r="G130" s="26">
        <v>3.97</v>
      </c>
      <c r="I130" s="26" t="str">
        <f t="shared" si="3"/>
        <v>-</v>
      </c>
    </row>
    <row r="131" spans="1:9" x14ac:dyDescent="0.15">
      <c r="A131" s="26">
        <f t="shared" si="2"/>
        <v>1530</v>
      </c>
      <c r="B131" s="27" t="s">
        <v>1934</v>
      </c>
      <c r="C131" s="26" t="s">
        <v>323</v>
      </c>
      <c r="D131" s="26">
        <v>28</v>
      </c>
      <c r="E131" s="26">
        <v>0</v>
      </c>
      <c r="F131" s="26">
        <v>32.799999999999997</v>
      </c>
      <c r="G131" s="26">
        <v>32.57</v>
      </c>
      <c r="I131" s="26" t="str">
        <f t="shared" si="3"/>
        <v>Y</v>
      </c>
    </row>
    <row r="132" spans="1:9" x14ac:dyDescent="0.15">
      <c r="A132" s="26">
        <f t="shared" si="2"/>
        <v>1531</v>
      </c>
      <c r="B132" s="27" t="s">
        <v>1935</v>
      </c>
      <c r="C132" s="26" t="s">
        <v>324</v>
      </c>
      <c r="D132" s="26">
        <v>15</v>
      </c>
      <c r="E132" s="26">
        <v>0</v>
      </c>
      <c r="F132" s="26">
        <v>18.55</v>
      </c>
      <c r="G132" s="26">
        <v>17.46</v>
      </c>
      <c r="I132" s="26" t="str">
        <f t="shared" si="3"/>
        <v>Y</v>
      </c>
    </row>
    <row r="133" spans="1:9" x14ac:dyDescent="0.15">
      <c r="A133" s="26">
        <f t="shared" si="2"/>
        <v>1532</v>
      </c>
      <c r="B133" s="27" t="s">
        <v>1936</v>
      </c>
      <c r="C133" s="26" t="s">
        <v>325</v>
      </c>
      <c r="D133" s="26">
        <v>-50</v>
      </c>
      <c r="E133" s="26">
        <v>-171</v>
      </c>
      <c r="F133" s="26">
        <v>26.6</v>
      </c>
      <c r="G133" s="26">
        <v>26.71</v>
      </c>
      <c r="I133" s="26" t="str">
        <f t="shared" si="3"/>
        <v>-</v>
      </c>
    </row>
    <row r="134" spans="1:9" x14ac:dyDescent="0.15">
      <c r="A134" s="26">
        <f t="shared" si="2"/>
        <v>1533</v>
      </c>
      <c r="B134" s="27" t="s">
        <v>1937</v>
      </c>
      <c r="C134" s="26" t="s">
        <v>326</v>
      </c>
      <c r="D134" s="26">
        <v>13</v>
      </c>
      <c r="E134" s="26">
        <v>0</v>
      </c>
      <c r="F134" s="26">
        <v>43.45</v>
      </c>
      <c r="G134" s="26">
        <v>44.18</v>
      </c>
      <c r="I134" s="26" t="str">
        <f t="shared" si="3"/>
        <v>-</v>
      </c>
    </row>
    <row r="135" spans="1:9" x14ac:dyDescent="0.15">
      <c r="A135" s="26">
        <f t="shared" ref="A135:A198" si="4">VALUE(B135)</f>
        <v>1535</v>
      </c>
      <c r="B135" s="27" t="s">
        <v>1938</v>
      </c>
      <c r="C135" s="26" t="s">
        <v>327</v>
      </c>
      <c r="D135" s="26">
        <v>-17</v>
      </c>
      <c r="E135" s="26">
        <v>0</v>
      </c>
      <c r="F135" s="26">
        <v>60.5</v>
      </c>
      <c r="G135" s="26">
        <v>59.44</v>
      </c>
      <c r="I135" s="26" t="str">
        <f t="shared" ref="I135:I198" si="5">IF(F135&gt;G135,"Y","-")</f>
        <v>Y</v>
      </c>
    </row>
    <row r="136" spans="1:9" x14ac:dyDescent="0.15">
      <c r="A136" s="26">
        <f t="shared" si="4"/>
        <v>1536</v>
      </c>
      <c r="B136" s="27" t="s">
        <v>1939</v>
      </c>
      <c r="C136" s="26" t="s">
        <v>328</v>
      </c>
      <c r="D136" s="26">
        <v>-2360</v>
      </c>
      <c r="E136" s="26">
        <v>-401</v>
      </c>
      <c r="F136" s="26">
        <v>120</v>
      </c>
      <c r="G136" s="26">
        <v>128.29</v>
      </c>
      <c r="I136" s="26" t="str">
        <f t="shared" si="5"/>
        <v>-</v>
      </c>
    </row>
    <row r="137" spans="1:9" x14ac:dyDescent="0.15">
      <c r="A137" s="26">
        <f t="shared" si="4"/>
        <v>1537</v>
      </c>
      <c r="B137" s="27" t="s">
        <v>1940</v>
      </c>
      <c r="C137" s="26" t="s">
        <v>329</v>
      </c>
      <c r="D137" s="26">
        <v>14</v>
      </c>
      <c r="E137" s="26">
        <v>50</v>
      </c>
      <c r="F137" s="26">
        <v>130.5</v>
      </c>
      <c r="G137" s="26">
        <v>132.46</v>
      </c>
      <c r="I137" s="26" t="str">
        <f t="shared" si="5"/>
        <v>-</v>
      </c>
    </row>
    <row r="138" spans="1:9" x14ac:dyDescent="0.15">
      <c r="A138" s="26">
        <f t="shared" si="4"/>
        <v>1538</v>
      </c>
      <c r="B138" s="27" t="s">
        <v>1941</v>
      </c>
      <c r="C138" s="26" t="s">
        <v>330</v>
      </c>
      <c r="D138" s="26">
        <v>2</v>
      </c>
      <c r="E138" s="26">
        <v>0</v>
      </c>
      <c r="F138" s="26">
        <v>5.17</v>
      </c>
      <c r="G138" s="26">
        <v>5.12</v>
      </c>
      <c r="I138" s="26" t="str">
        <f t="shared" si="5"/>
        <v>Y</v>
      </c>
    </row>
    <row r="139" spans="1:9" x14ac:dyDescent="0.15">
      <c r="A139" s="26">
        <f t="shared" si="4"/>
        <v>1539</v>
      </c>
      <c r="B139" s="27" t="s">
        <v>1942</v>
      </c>
      <c r="C139" s="26" t="s">
        <v>331</v>
      </c>
      <c r="D139" s="26">
        <v>48</v>
      </c>
      <c r="E139" s="26">
        <v>0</v>
      </c>
      <c r="F139" s="26">
        <v>34.9</v>
      </c>
      <c r="G139" s="26">
        <v>35.049999999999997</v>
      </c>
      <c r="I139" s="26" t="str">
        <f t="shared" si="5"/>
        <v>-</v>
      </c>
    </row>
    <row r="140" spans="1:9" x14ac:dyDescent="0.15">
      <c r="A140" s="26">
        <f t="shared" si="4"/>
        <v>1540</v>
      </c>
      <c r="B140" s="27" t="s">
        <v>1943</v>
      </c>
      <c r="C140" s="26" t="s">
        <v>332</v>
      </c>
      <c r="D140" s="26">
        <v>2</v>
      </c>
      <c r="E140" s="26">
        <v>0</v>
      </c>
      <c r="F140" s="26">
        <v>16.399999999999999</v>
      </c>
      <c r="G140" s="26">
        <v>15.73</v>
      </c>
      <c r="I140" s="26" t="str">
        <f t="shared" si="5"/>
        <v>Y</v>
      </c>
    </row>
    <row r="141" spans="1:9" x14ac:dyDescent="0.15">
      <c r="A141" s="26">
        <f t="shared" si="4"/>
        <v>1541</v>
      </c>
      <c r="B141" s="27" t="s">
        <v>1944</v>
      </c>
      <c r="C141" s="26" t="s">
        <v>333</v>
      </c>
      <c r="D141" s="26">
        <v>-13</v>
      </c>
      <c r="E141" s="26">
        <v>0</v>
      </c>
      <c r="F141" s="26">
        <v>54.2</v>
      </c>
      <c r="G141" s="26">
        <v>55.23</v>
      </c>
      <c r="I141" s="26" t="str">
        <f t="shared" si="5"/>
        <v>-</v>
      </c>
    </row>
    <row r="142" spans="1:9" x14ac:dyDescent="0.15">
      <c r="A142" s="26">
        <f t="shared" si="4"/>
        <v>1558</v>
      </c>
      <c r="B142" s="27" t="s">
        <v>1945</v>
      </c>
      <c r="C142" s="26" t="s">
        <v>334</v>
      </c>
      <c r="D142" s="26">
        <v>7</v>
      </c>
      <c r="E142" s="26">
        <v>0</v>
      </c>
      <c r="F142" s="26">
        <v>150.5</v>
      </c>
      <c r="G142" s="26">
        <v>143.75</v>
      </c>
      <c r="I142" s="26" t="str">
        <f t="shared" si="5"/>
        <v>Y</v>
      </c>
    </row>
    <row r="143" spans="1:9" x14ac:dyDescent="0.15">
      <c r="A143" s="26">
        <f t="shared" si="4"/>
        <v>1560</v>
      </c>
      <c r="B143" s="27" t="s">
        <v>1946</v>
      </c>
      <c r="C143" s="26" t="s">
        <v>335</v>
      </c>
      <c r="D143" s="26">
        <v>11</v>
      </c>
      <c r="E143" s="26">
        <v>0</v>
      </c>
      <c r="F143" s="26">
        <v>55.4</v>
      </c>
      <c r="G143" s="26">
        <v>53.14</v>
      </c>
      <c r="I143" s="26" t="str">
        <f t="shared" si="5"/>
        <v>Y</v>
      </c>
    </row>
    <row r="144" spans="1:9" x14ac:dyDescent="0.15">
      <c r="A144" s="26">
        <f t="shared" si="4"/>
        <v>1565</v>
      </c>
      <c r="B144" s="27" t="s">
        <v>1947</v>
      </c>
      <c r="C144" s="26" t="s">
        <v>336</v>
      </c>
      <c r="D144" s="26">
        <v>-11</v>
      </c>
      <c r="E144" s="26">
        <v>-5</v>
      </c>
      <c r="F144" s="26">
        <v>603</v>
      </c>
      <c r="G144" s="26">
        <v>618.25</v>
      </c>
      <c r="I144" s="26" t="str">
        <f t="shared" si="5"/>
        <v>-</v>
      </c>
    </row>
    <row r="145" spans="1:9" x14ac:dyDescent="0.15">
      <c r="A145" s="26">
        <f t="shared" si="4"/>
        <v>1566</v>
      </c>
      <c r="B145" s="27" t="s">
        <v>1948</v>
      </c>
      <c r="C145" s="26" t="s">
        <v>337</v>
      </c>
      <c r="D145" s="26">
        <v>111</v>
      </c>
      <c r="E145" s="26">
        <v>0</v>
      </c>
      <c r="F145" s="26">
        <v>24.15</v>
      </c>
      <c r="G145" s="26">
        <v>22.12</v>
      </c>
      <c r="I145" s="26" t="str">
        <f t="shared" si="5"/>
        <v>Y</v>
      </c>
    </row>
    <row r="146" spans="1:9" x14ac:dyDescent="0.15">
      <c r="A146" s="26">
        <f t="shared" si="4"/>
        <v>1568</v>
      </c>
      <c r="B146" s="27" t="s">
        <v>1949</v>
      </c>
      <c r="C146" s="26" t="s">
        <v>338</v>
      </c>
      <c r="D146" s="26">
        <v>-40</v>
      </c>
      <c r="E146" s="26">
        <v>0</v>
      </c>
      <c r="F146" s="26">
        <v>24.85</v>
      </c>
      <c r="G146" s="26">
        <v>24.87</v>
      </c>
      <c r="I146" s="26" t="str">
        <f t="shared" si="5"/>
        <v>-</v>
      </c>
    </row>
    <row r="147" spans="1:9" x14ac:dyDescent="0.15">
      <c r="A147" s="26">
        <f t="shared" si="4"/>
        <v>1569</v>
      </c>
      <c r="B147" s="27" t="s">
        <v>1950</v>
      </c>
      <c r="C147" s="26" t="s">
        <v>339</v>
      </c>
      <c r="D147" s="26">
        <v>0</v>
      </c>
      <c r="E147" s="26">
        <v>0</v>
      </c>
      <c r="F147" s="26">
        <v>10</v>
      </c>
      <c r="G147" s="26">
        <v>9.56</v>
      </c>
      <c r="I147" s="26" t="str">
        <f t="shared" si="5"/>
        <v>Y</v>
      </c>
    </row>
    <row r="148" spans="1:9" x14ac:dyDescent="0.15">
      <c r="A148" s="26">
        <f t="shared" si="4"/>
        <v>1570</v>
      </c>
      <c r="B148" s="27" t="s">
        <v>1951</v>
      </c>
      <c r="C148" s="26" t="s">
        <v>340</v>
      </c>
      <c r="D148" s="26">
        <v>-1</v>
      </c>
      <c r="E148" s="26">
        <v>0</v>
      </c>
      <c r="F148" s="26">
        <v>16.600000000000001</v>
      </c>
      <c r="G148" s="26">
        <v>16.71</v>
      </c>
      <c r="I148" s="26" t="str">
        <f t="shared" si="5"/>
        <v>-</v>
      </c>
    </row>
    <row r="149" spans="1:9" x14ac:dyDescent="0.15">
      <c r="A149" s="26">
        <f t="shared" si="4"/>
        <v>1580</v>
      </c>
      <c r="B149" s="27" t="s">
        <v>1952</v>
      </c>
      <c r="C149" s="26" t="s">
        <v>341</v>
      </c>
      <c r="D149" s="26">
        <v>90</v>
      </c>
      <c r="E149" s="26">
        <v>0</v>
      </c>
      <c r="F149" s="26">
        <v>108</v>
      </c>
      <c r="G149" s="26">
        <v>99.93</v>
      </c>
      <c r="I149" s="26" t="str">
        <f t="shared" si="5"/>
        <v>Y</v>
      </c>
    </row>
    <row r="150" spans="1:9" x14ac:dyDescent="0.15">
      <c r="A150" s="26">
        <f t="shared" si="4"/>
        <v>1582</v>
      </c>
      <c r="B150" s="27" t="s">
        <v>1953</v>
      </c>
      <c r="C150" s="26" t="s">
        <v>342</v>
      </c>
      <c r="D150" s="26">
        <v>59</v>
      </c>
      <c r="E150" s="26">
        <v>0</v>
      </c>
      <c r="F150" s="26">
        <v>51.5</v>
      </c>
      <c r="G150" s="26">
        <v>49.34</v>
      </c>
      <c r="I150" s="26" t="str">
        <f t="shared" si="5"/>
        <v>Y</v>
      </c>
    </row>
    <row r="151" spans="1:9" x14ac:dyDescent="0.15">
      <c r="A151" s="26">
        <f t="shared" si="4"/>
        <v>1583</v>
      </c>
      <c r="B151" s="27" t="s">
        <v>1954</v>
      </c>
      <c r="C151" s="26" t="s">
        <v>343</v>
      </c>
      <c r="D151" s="26">
        <v>-27</v>
      </c>
      <c r="E151" s="26">
        <v>0</v>
      </c>
      <c r="F151" s="26">
        <v>66.7</v>
      </c>
      <c r="G151" s="26">
        <v>64.69</v>
      </c>
      <c r="I151" s="26" t="str">
        <f t="shared" si="5"/>
        <v>Y</v>
      </c>
    </row>
    <row r="152" spans="1:9" x14ac:dyDescent="0.15">
      <c r="A152" s="26">
        <f t="shared" si="4"/>
        <v>1584</v>
      </c>
      <c r="B152" s="27" t="s">
        <v>1955</v>
      </c>
      <c r="C152" s="26" t="s">
        <v>344</v>
      </c>
      <c r="D152" s="26">
        <v>8</v>
      </c>
      <c r="E152" s="26">
        <v>0</v>
      </c>
      <c r="F152" s="26">
        <v>13.85</v>
      </c>
      <c r="G152" s="26">
        <v>13.55</v>
      </c>
      <c r="I152" s="26" t="str">
        <f t="shared" si="5"/>
        <v>Y</v>
      </c>
    </row>
    <row r="153" spans="1:9" x14ac:dyDescent="0.15">
      <c r="A153" s="26">
        <f t="shared" si="4"/>
        <v>1586</v>
      </c>
      <c r="B153" s="27" t="s">
        <v>1956</v>
      </c>
      <c r="C153" s="26" t="s">
        <v>345</v>
      </c>
      <c r="D153" s="26">
        <v>-4</v>
      </c>
      <c r="E153" s="26">
        <v>0</v>
      </c>
      <c r="F153" s="26">
        <v>36.049999999999997</v>
      </c>
      <c r="G153" s="26">
        <v>34.46</v>
      </c>
      <c r="I153" s="26" t="str">
        <f t="shared" si="5"/>
        <v>Y</v>
      </c>
    </row>
    <row r="154" spans="1:9" x14ac:dyDescent="0.15">
      <c r="A154" s="26">
        <f t="shared" si="4"/>
        <v>1589</v>
      </c>
      <c r="B154" s="27" t="s">
        <v>1957</v>
      </c>
      <c r="C154" s="26" t="s">
        <v>346</v>
      </c>
      <c r="D154" s="26">
        <v>124</v>
      </c>
      <c r="E154" s="26">
        <v>-10</v>
      </c>
      <c r="F154" s="26">
        <v>229.5</v>
      </c>
      <c r="G154" s="26">
        <v>230.79</v>
      </c>
      <c r="I154" s="26" t="str">
        <f t="shared" si="5"/>
        <v>-</v>
      </c>
    </row>
    <row r="155" spans="1:9" x14ac:dyDescent="0.15">
      <c r="A155" s="26">
        <f t="shared" si="4"/>
        <v>1590</v>
      </c>
      <c r="B155" s="27" t="s">
        <v>1958</v>
      </c>
      <c r="C155" s="26" t="s">
        <v>347</v>
      </c>
      <c r="D155" s="26">
        <v>177</v>
      </c>
      <c r="E155" s="26">
        <v>132</v>
      </c>
      <c r="F155" s="26">
        <v>182.5</v>
      </c>
      <c r="G155" s="26">
        <v>172.92</v>
      </c>
      <c r="I155" s="26" t="str">
        <f t="shared" si="5"/>
        <v>Y</v>
      </c>
    </row>
    <row r="156" spans="1:9" x14ac:dyDescent="0.15">
      <c r="A156" s="26">
        <f t="shared" si="4"/>
        <v>1591</v>
      </c>
      <c r="B156" s="27" t="s">
        <v>1959</v>
      </c>
      <c r="C156" s="26" t="s">
        <v>348</v>
      </c>
      <c r="D156" s="26">
        <v>0</v>
      </c>
      <c r="E156" s="26">
        <v>0</v>
      </c>
      <c r="F156" s="26">
        <v>19.5</v>
      </c>
      <c r="G156" s="26">
        <v>18.47</v>
      </c>
      <c r="I156" s="26" t="str">
        <f t="shared" si="5"/>
        <v>Y</v>
      </c>
    </row>
    <row r="157" spans="1:9" x14ac:dyDescent="0.15">
      <c r="A157" s="26">
        <f t="shared" si="4"/>
        <v>1592</v>
      </c>
      <c r="B157" s="27" t="s">
        <v>1960</v>
      </c>
      <c r="C157" s="26" t="s">
        <v>349</v>
      </c>
      <c r="D157" s="26">
        <v>0</v>
      </c>
      <c r="E157" s="26">
        <v>0</v>
      </c>
      <c r="F157" s="26">
        <v>29.95</v>
      </c>
      <c r="G157" s="26">
        <v>29.37</v>
      </c>
      <c r="I157" s="26" t="str">
        <f t="shared" si="5"/>
        <v>Y</v>
      </c>
    </row>
    <row r="158" spans="1:9" x14ac:dyDescent="0.15">
      <c r="A158" s="26">
        <f t="shared" si="4"/>
        <v>1593</v>
      </c>
      <c r="B158" s="27" t="s">
        <v>1961</v>
      </c>
      <c r="C158" s="26" t="s">
        <v>350</v>
      </c>
      <c r="D158" s="26">
        <v>-1</v>
      </c>
      <c r="E158" s="26">
        <v>0</v>
      </c>
      <c r="F158" s="26">
        <v>39</v>
      </c>
      <c r="G158" s="26">
        <v>38.57</v>
      </c>
      <c r="I158" s="26" t="str">
        <f t="shared" si="5"/>
        <v>Y</v>
      </c>
    </row>
    <row r="159" spans="1:9" x14ac:dyDescent="0.15">
      <c r="A159" s="26">
        <f t="shared" si="4"/>
        <v>1595</v>
      </c>
      <c r="B159" s="27" t="s">
        <v>1962</v>
      </c>
      <c r="C159" s="26" t="s">
        <v>351</v>
      </c>
      <c r="D159" s="26">
        <v>0</v>
      </c>
      <c r="E159" s="26">
        <v>0</v>
      </c>
      <c r="F159" s="26">
        <v>58.9</v>
      </c>
      <c r="G159" s="26">
        <v>57.16</v>
      </c>
      <c r="I159" s="26" t="str">
        <f t="shared" si="5"/>
        <v>Y</v>
      </c>
    </row>
    <row r="160" spans="1:9" x14ac:dyDescent="0.15">
      <c r="A160" s="26">
        <f t="shared" si="4"/>
        <v>1597</v>
      </c>
      <c r="B160" s="27" t="s">
        <v>1963</v>
      </c>
      <c r="C160" s="26" t="s">
        <v>352</v>
      </c>
      <c r="D160" s="26">
        <v>0</v>
      </c>
      <c r="E160" s="26">
        <v>0</v>
      </c>
      <c r="F160" s="26">
        <v>25.55</v>
      </c>
      <c r="G160" s="26">
        <v>25.15</v>
      </c>
      <c r="I160" s="26" t="str">
        <f t="shared" si="5"/>
        <v>Y</v>
      </c>
    </row>
    <row r="161" spans="1:9" x14ac:dyDescent="0.15">
      <c r="A161" s="26">
        <f t="shared" si="4"/>
        <v>1599</v>
      </c>
      <c r="B161" s="27" t="s">
        <v>1964</v>
      </c>
      <c r="C161" s="26" t="s">
        <v>353</v>
      </c>
      <c r="D161" s="26">
        <v>-8</v>
      </c>
      <c r="E161" s="26">
        <v>0</v>
      </c>
      <c r="F161" s="26">
        <v>54.3</v>
      </c>
      <c r="G161" s="26">
        <v>48.6</v>
      </c>
      <c r="I161" s="26" t="str">
        <f t="shared" si="5"/>
        <v>Y</v>
      </c>
    </row>
    <row r="162" spans="1:9" x14ac:dyDescent="0.15">
      <c r="A162" s="26">
        <f t="shared" si="4"/>
        <v>1603</v>
      </c>
      <c r="B162" s="27" t="s">
        <v>1965</v>
      </c>
      <c r="C162" s="26" t="s">
        <v>354</v>
      </c>
      <c r="D162" s="26">
        <v>-1</v>
      </c>
      <c r="E162" s="26">
        <v>0</v>
      </c>
      <c r="F162" s="26">
        <v>12.45</v>
      </c>
      <c r="G162" s="26">
        <v>12.16</v>
      </c>
      <c r="I162" s="26" t="str">
        <f t="shared" si="5"/>
        <v>Y</v>
      </c>
    </row>
    <row r="163" spans="1:9" x14ac:dyDescent="0.15">
      <c r="A163" s="26">
        <f t="shared" si="4"/>
        <v>1604</v>
      </c>
      <c r="B163" s="27" t="s">
        <v>1966</v>
      </c>
      <c r="C163" s="26" t="s">
        <v>355</v>
      </c>
      <c r="D163" s="26">
        <v>-1</v>
      </c>
      <c r="E163" s="26">
        <v>0</v>
      </c>
      <c r="F163" s="26">
        <v>12.6</v>
      </c>
      <c r="G163" s="26">
        <v>12.22</v>
      </c>
      <c r="I163" s="26" t="str">
        <f t="shared" si="5"/>
        <v>Y</v>
      </c>
    </row>
    <row r="164" spans="1:9" x14ac:dyDescent="0.15">
      <c r="A164" s="26">
        <f t="shared" si="4"/>
        <v>1605</v>
      </c>
      <c r="B164" s="27" t="s">
        <v>1967</v>
      </c>
      <c r="C164" s="26" t="s">
        <v>356</v>
      </c>
      <c r="D164" s="26">
        <v>-710</v>
      </c>
      <c r="E164" s="26">
        <v>0</v>
      </c>
      <c r="F164" s="26">
        <v>8.8800000000000008</v>
      </c>
      <c r="G164" s="26">
        <v>8.33</v>
      </c>
      <c r="I164" s="26" t="str">
        <f t="shared" si="5"/>
        <v>Y</v>
      </c>
    </row>
    <row r="165" spans="1:9" x14ac:dyDescent="0.15">
      <c r="A165" s="26">
        <f t="shared" si="4"/>
        <v>1608</v>
      </c>
      <c r="B165" s="27" t="s">
        <v>1968</v>
      </c>
      <c r="C165" s="26" t="s">
        <v>357</v>
      </c>
      <c r="D165" s="26">
        <v>-53</v>
      </c>
      <c r="E165" s="26">
        <v>0</v>
      </c>
      <c r="F165" s="26">
        <v>7.75</v>
      </c>
      <c r="G165" s="26">
        <v>6.95</v>
      </c>
      <c r="I165" s="26" t="str">
        <f t="shared" si="5"/>
        <v>Y</v>
      </c>
    </row>
    <row r="166" spans="1:9" x14ac:dyDescent="0.15">
      <c r="A166" s="26">
        <f t="shared" si="4"/>
        <v>1609</v>
      </c>
      <c r="B166" s="27" t="s">
        <v>1969</v>
      </c>
      <c r="C166" s="26" t="s">
        <v>358</v>
      </c>
      <c r="D166" s="26">
        <v>-149</v>
      </c>
      <c r="E166" s="26">
        <v>0</v>
      </c>
      <c r="F166" s="26">
        <v>4.88</v>
      </c>
      <c r="G166" s="26">
        <v>4.57</v>
      </c>
      <c r="I166" s="26" t="str">
        <f t="shared" si="5"/>
        <v>Y</v>
      </c>
    </row>
    <row r="167" spans="1:9" x14ac:dyDescent="0.15">
      <c r="A167" s="26">
        <f t="shared" si="4"/>
        <v>1611</v>
      </c>
      <c r="B167" s="27" t="s">
        <v>1970</v>
      </c>
      <c r="C167" s="26" t="s">
        <v>359</v>
      </c>
      <c r="D167" s="26">
        <v>321</v>
      </c>
      <c r="E167" s="26">
        <v>0</v>
      </c>
      <c r="F167" s="26">
        <v>9.69</v>
      </c>
      <c r="G167" s="26">
        <v>7.9</v>
      </c>
      <c r="I167" s="26" t="str">
        <f t="shared" si="5"/>
        <v>Y</v>
      </c>
    </row>
    <row r="168" spans="1:9" x14ac:dyDescent="0.15">
      <c r="A168" s="26">
        <f t="shared" si="4"/>
        <v>1612</v>
      </c>
      <c r="B168" s="27" t="s">
        <v>1971</v>
      </c>
      <c r="C168" s="26" t="s">
        <v>360</v>
      </c>
      <c r="D168" s="26">
        <v>-11</v>
      </c>
      <c r="E168" s="26">
        <v>0</v>
      </c>
      <c r="F168" s="26">
        <v>8.66</v>
      </c>
      <c r="G168" s="26">
        <v>8.41</v>
      </c>
      <c r="I168" s="26" t="str">
        <f t="shared" si="5"/>
        <v>Y</v>
      </c>
    </row>
    <row r="169" spans="1:9" x14ac:dyDescent="0.15">
      <c r="A169" s="26">
        <f t="shared" si="4"/>
        <v>1613</v>
      </c>
      <c r="B169" s="27" t="s">
        <v>1972</v>
      </c>
      <c r="C169" s="26" t="s">
        <v>361</v>
      </c>
      <c r="D169" s="26">
        <v>0</v>
      </c>
      <c r="E169" s="26">
        <v>0</v>
      </c>
      <c r="F169" s="26">
        <v>3.36</v>
      </c>
      <c r="G169" s="26">
        <v>3.21</v>
      </c>
      <c r="I169" s="26" t="str">
        <f t="shared" si="5"/>
        <v>Y</v>
      </c>
    </row>
    <row r="170" spans="1:9" x14ac:dyDescent="0.15">
      <c r="A170" s="26">
        <f t="shared" si="4"/>
        <v>1614</v>
      </c>
      <c r="B170" s="27" t="s">
        <v>1973</v>
      </c>
      <c r="C170" s="26" t="s">
        <v>362</v>
      </c>
      <c r="D170" s="26">
        <v>-62</v>
      </c>
      <c r="E170" s="26">
        <v>0</v>
      </c>
      <c r="F170" s="26">
        <v>25</v>
      </c>
      <c r="G170" s="26">
        <v>23.99</v>
      </c>
      <c r="I170" s="26" t="str">
        <f t="shared" si="5"/>
        <v>Y</v>
      </c>
    </row>
    <row r="171" spans="1:9" x14ac:dyDescent="0.15">
      <c r="A171" s="26">
        <f t="shared" si="4"/>
        <v>1615</v>
      </c>
      <c r="B171" s="27" t="s">
        <v>1974</v>
      </c>
      <c r="C171" s="26" t="s">
        <v>363</v>
      </c>
      <c r="D171" s="26">
        <v>1</v>
      </c>
      <c r="E171" s="26">
        <v>0</v>
      </c>
      <c r="F171" s="26">
        <v>10</v>
      </c>
      <c r="G171" s="26">
        <v>10.029999999999999</v>
      </c>
      <c r="I171" s="26" t="str">
        <f t="shared" si="5"/>
        <v>-</v>
      </c>
    </row>
    <row r="172" spans="1:9" x14ac:dyDescent="0.15">
      <c r="A172" s="26">
        <f t="shared" si="4"/>
        <v>1616</v>
      </c>
      <c r="B172" s="27" t="s">
        <v>1975</v>
      </c>
      <c r="C172" s="26" t="s">
        <v>364</v>
      </c>
      <c r="D172" s="26">
        <v>0</v>
      </c>
      <c r="E172" s="26">
        <v>0</v>
      </c>
      <c r="F172" s="26">
        <v>4.8099999999999996</v>
      </c>
      <c r="G172" s="26">
        <v>4.4400000000000004</v>
      </c>
      <c r="I172" s="26" t="str">
        <f t="shared" si="5"/>
        <v>Y</v>
      </c>
    </row>
    <row r="173" spans="1:9" x14ac:dyDescent="0.15">
      <c r="A173" s="26">
        <f t="shared" si="4"/>
        <v>1617</v>
      </c>
      <c r="B173" s="27" t="s">
        <v>1976</v>
      </c>
      <c r="C173" s="26" t="s">
        <v>365</v>
      </c>
      <c r="D173" s="26">
        <v>-1</v>
      </c>
      <c r="E173" s="26">
        <v>0</v>
      </c>
      <c r="F173" s="26">
        <v>6.82</v>
      </c>
      <c r="G173" s="26">
        <v>6.65</v>
      </c>
      <c r="I173" s="26" t="str">
        <f t="shared" si="5"/>
        <v>Y</v>
      </c>
    </row>
    <row r="174" spans="1:9" x14ac:dyDescent="0.15">
      <c r="A174" s="26">
        <f t="shared" si="4"/>
        <v>1618</v>
      </c>
      <c r="B174" s="27" t="s">
        <v>1977</v>
      </c>
      <c r="C174" s="26" t="s">
        <v>366</v>
      </c>
      <c r="D174" s="26">
        <v>0</v>
      </c>
      <c r="E174" s="26">
        <v>0</v>
      </c>
      <c r="F174" s="26">
        <v>7.6</v>
      </c>
      <c r="G174" s="26">
        <v>7.44</v>
      </c>
      <c r="I174" s="26" t="str">
        <f t="shared" si="5"/>
        <v>Y</v>
      </c>
    </row>
    <row r="175" spans="1:9" x14ac:dyDescent="0.15">
      <c r="A175" s="26">
        <f t="shared" si="4"/>
        <v>1626</v>
      </c>
      <c r="B175" s="27" t="s">
        <v>1978</v>
      </c>
      <c r="C175" s="26" t="s">
        <v>367</v>
      </c>
      <c r="D175" s="26">
        <v>2</v>
      </c>
      <c r="E175" s="26">
        <v>0</v>
      </c>
      <c r="F175" s="26">
        <v>23.05</v>
      </c>
      <c r="G175" s="26">
        <v>22.03</v>
      </c>
      <c r="I175" s="26" t="str">
        <f t="shared" si="5"/>
        <v>Y</v>
      </c>
    </row>
    <row r="176" spans="1:9" x14ac:dyDescent="0.15">
      <c r="A176" s="26">
        <f t="shared" si="4"/>
        <v>1701</v>
      </c>
      <c r="B176" s="27" t="s">
        <v>1979</v>
      </c>
      <c r="C176" s="26" t="s">
        <v>368</v>
      </c>
      <c r="D176" s="26">
        <v>-8</v>
      </c>
      <c r="E176" s="26">
        <v>0</v>
      </c>
      <c r="F176" s="26">
        <v>20.2</v>
      </c>
      <c r="G176" s="26">
        <v>20.05</v>
      </c>
      <c r="I176" s="26" t="str">
        <f t="shared" si="5"/>
        <v>Y</v>
      </c>
    </row>
    <row r="177" spans="1:9" x14ac:dyDescent="0.15">
      <c r="A177" s="26">
        <f t="shared" si="4"/>
        <v>1702</v>
      </c>
      <c r="B177" s="27" t="s">
        <v>1980</v>
      </c>
      <c r="C177" s="26" t="s">
        <v>369</v>
      </c>
      <c r="D177" s="26">
        <v>-33</v>
      </c>
      <c r="E177" s="26">
        <v>-183</v>
      </c>
      <c r="F177" s="26">
        <v>66.5</v>
      </c>
      <c r="G177" s="26">
        <v>64.41</v>
      </c>
      <c r="I177" s="26" t="str">
        <f t="shared" si="5"/>
        <v>Y</v>
      </c>
    </row>
    <row r="178" spans="1:9" x14ac:dyDescent="0.15">
      <c r="A178" s="26">
        <f t="shared" si="4"/>
        <v>1704</v>
      </c>
      <c r="B178" s="27" t="s">
        <v>1981</v>
      </c>
      <c r="C178" s="26" t="s">
        <v>370</v>
      </c>
      <c r="D178" s="26">
        <v>-380</v>
      </c>
      <c r="E178" s="26">
        <v>800</v>
      </c>
      <c r="F178" s="26">
        <v>36.75</v>
      </c>
      <c r="G178" s="26">
        <v>33.69</v>
      </c>
      <c r="I178" s="26" t="str">
        <f t="shared" si="5"/>
        <v>Y</v>
      </c>
    </row>
    <row r="179" spans="1:9" x14ac:dyDescent="0.15">
      <c r="A179" s="26">
        <f t="shared" si="4"/>
        <v>1707</v>
      </c>
      <c r="B179" s="27" t="s">
        <v>1982</v>
      </c>
      <c r="C179" s="26" t="s">
        <v>371</v>
      </c>
      <c r="D179" s="26">
        <v>217</v>
      </c>
      <c r="E179" s="26">
        <v>66</v>
      </c>
      <c r="F179" s="26">
        <v>197</v>
      </c>
      <c r="G179" s="26">
        <v>189.71</v>
      </c>
      <c r="I179" s="26" t="str">
        <f t="shared" si="5"/>
        <v>Y</v>
      </c>
    </row>
    <row r="180" spans="1:9" x14ac:dyDescent="0.15">
      <c r="A180" s="26">
        <f t="shared" si="4"/>
        <v>1708</v>
      </c>
      <c r="B180" s="27" t="s">
        <v>1983</v>
      </c>
      <c r="C180" s="26" t="s">
        <v>372</v>
      </c>
      <c r="D180" s="26">
        <v>139</v>
      </c>
      <c r="E180" s="26">
        <v>0</v>
      </c>
      <c r="F180" s="26">
        <v>31.35</v>
      </c>
      <c r="G180" s="26">
        <v>30.84</v>
      </c>
      <c r="I180" s="26" t="str">
        <f t="shared" si="5"/>
        <v>Y</v>
      </c>
    </row>
    <row r="181" spans="1:9" x14ac:dyDescent="0.15">
      <c r="A181" s="26">
        <f t="shared" si="4"/>
        <v>1709</v>
      </c>
      <c r="B181" s="27" t="s">
        <v>1984</v>
      </c>
      <c r="C181" s="26" t="s">
        <v>373</v>
      </c>
      <c r="D181" s="26">
        <v>179</v>
      </c>
      <c r="E181" s="26">
        <v>0</v>
      </c>
      <c r="F181" s="26">
        <v>16.600000000000001</v>
      </c>
      <c r="G181" s="26">
        <v>15.83</v>
      </c>
      <c r="I181" s="26" t="str">
        <f t="shared" si="5"/>
        <v>Y</v>
      </c>
    </row>
    <row r="182" spans="1:9" x14ac:dyDescent="0.15">
      <c r="A182" s="26">
        <f t="shared" si="4"/>
        <v>1710</v>
      </c>
      <c r="B182" s="27" t="s">
        <v>1985</v>
      </c>
      <c r="C182" s="26" t="s">
        <v>374</v>
      </c>
      <c r="D182" s="26">
        <v>777</v>
      </c>
      <c r="E182" s="26">
        <v>0</v>
      </c>
      <c r="F182" s="26">
        <v>24.1</v>
      </c>
      <c r="G182" s="26">
        <v>21.8</v>
      </c>
      <c r="I182" s="26" t="str">
        <f t="shared" si="5"/>
        <v>Y</v>
      </c>
    </row>
    <row r="183" spans="1:9" x14ac:dyDescent="0.15">
      <c r="A183" s="26">
        <f t="shared" si="4"/>
        <v>1711</v>
      </c>
      <c r="B183" s="27" t="s">
        <v>1986</v>
      </c>
      <c r="C183" s="26" t="s">
        <v>375</v>
      </c>
      <c r="D183" s="26">
        <v>858</v>
      </c>
      <c r="E183" s="26">
        <v>0</v>
      </c>
      <c r="F183" s="26">
        <v>21.9</v>
      </c>
      <c r="G183" s="26">
        <v>21.03</v>
      </c>
      <c r="I183" s="26" t="str">
        <f t="shared" si="5"/>
        <v>Y</v>
      </c>
    </row>
    <row r="184" spans="1:9" x14ac:dyDescent="0.15">
      <c r="A184" s="26">
        <f t="shared" si="4"/>
        <v>1712</v>
      </c>
      <c r="B184" s="27" t="s">
        <v>1987</v>
      </c>
      <c r="C184" s="26" t="s">
        <v>376</v>
      </c>
      <c r="D184" s="26">
        <v>41</v>
      </c>
      <c r="E184" s="26">
        <v>0</v>
      </c>
      <c r="F184" s="26">
        <v>14.15</v>
      </c>
      <c r="G184" s="26">
        <v>13.53</v>
      </c>
      <c r="I184" s="26" t="str">
        <f t="shared" si="5"/>
        <v>Y</v>
      </c>
    </row>
    <row r="185" spans="1:9" x14ac:dyDescent="0.15">
      <c r="A185" s="26">
        <f t="shared" si="4"/>
        <v>1713</v>
      </c>
      <c r="B185" s="27" t="s">
        <v>1988</v>
      </c>
      <c r="C185" s="26" t="s">
        <v>377</v>
      </c>
      <c r="D185" s="26">
        <v>0</v>
      </c>
      <c r="E185" s="26">
        <v>0</v>
      </c>
      <c r="F185" s="26">
        <v>15.9</v>
      </c>
      <c r="G185" s="26">
        <v>15.79</v>
      </c>
      <c r="I185" s="26" t="str">
        <f t="shared" si="5"/>
        <v>Y</v>
      </c>
    </row>
    <row r="186" spans="1:9" x14ac:dyDescent="0.15">
      <c r="A186" s="26">
        <f t="shared" si="4"/>
        <v>1714</v>
      </c>
      <c r="B186" s="27" t="s">
        <v>1989</v>
      </c>
      <c r="C186" s="26" t="s">
        <v>378</v>
      </c>
      <c r="D186" s="26">
        <v>31</v>
      </c>
      <c r="E186" s="26">
        <v>0</v>
      </c>
      <c r="F186" s="26">
        <v>7.87</v>
      </c>
      <c r="G186" s="26">
        <v>7.5</v>
      </c>
      <c r="I186" s="26" t="str">
        <f t="shared" si="5"/>
        <v>Y</v>
      </c>
    </row>
    <row r="187" spans="1:9" x14ac:dyDescent="0.15">
      <c r="A187" s="26">
        <f t="shared" si="4"/>
        <v>1715</v>
      </c>
      <c r="B187" s="27" t="s">
        <v>1990</v>
      </c>
      <c r="C187" s="26" t="s">
        <v>379</v>
      </c>
      <c r="D187" s="26">
        <v>-42</v>
      </c>
      <c r="E187" s="26">
        <v>0</v>
      </c>
      <c r="F187" s="26">
        <v>12.35</v>
      </c>
      <c r="G187" s="26">
        <v>11.68</v>
      </c>
      <c r="I187" s="26" t="str">
        <f t="shared" si="5"/>
        <v>Y</v>
      </c>
    </row>
    <row r="188" spans="1:9" x14ac:dyDescent="0.15">
      <c r="A188" s="26">
        <f t="shared" si="4"/>
        <v>1717</v>
      </c>
      <c r="B188" s="27" t="s">
        <v>1991</v>
      </c>
      <c r="C188" s="26" t="s">
        <v>380</v>
      </c>
      <c r="D188" s="26">
        <v>-13</v>
      </c>
      <c r="E188" s="26">
        <v>0</v>
      </c>
      <c r="F188" s="26">
        <v>33.35</v>
      </c>
      <c r="G188" s="26">
        <v>32.57</v>
      </c>
      <c r="I188" s="26" t="str">
        <f t="shared" si="5"/>
        <v>Y</v>
      </c>
    </row>
    <row r="189" spans="1:9" x14ac:dyDescent="0.15">
      <c r="A189" s="26">
        <f t="shared" si="4"/>
        <v>1718</v>
      </c>
      <c r="B189" s="27" t="s">
        <v>1992</v>
      </c>
      <c r="C189" s="26" t="s">
        <v>381</v>
      </c>
      <c r="D189" s="26">
        <v>-160</v>
      </c>
      <c r="E189" s="26">
        <v>0</v>
      </c>
      <c r="F189" s="26">
        <v>8.6</v>
      </c>
      <c r="G189" s="26">
        <v>8.26</v>
      </c>
      <c r="I189" s="26" t="str">
        <f t="shared" si="5"/>
        <v>Y</v>
      </c>
    </row>
    <row r="190" spans="1:9" x14ac:dyDescent="0.15">
      <c r="A190" s="26">
        <f t="shared" si="4"/>
        <v>1720</v>
      </c>
      <c r="B190" s="27" t="s">
        <v>1993</v>
      </c>
      <c r="C190" s="26" t="s">
        <v>382</v>
      </c>
      <c r="D190" s="26">
        <v>-75</v>
      </c>
      <c r="E190" s="26">
        <v>0</v>
      </c>
      <c r="F190" s="26">
        <v>35.4</v>
      </c>
      <c r="G190" s="26">
        <v>35.17</v>
      </c>
      <c r="I190" s="26" t="str">
        <f t="shared" si="5"/>
        <v>Y</v>
      </c>
    </row>
    <row r="191" spans="1:9" x14ac:dyDescent="0.15">
      <c r="A191" s="26">
        <f t="shared" si="4"/>
        <v>1721</v>
      </c>
      <c r="B191" s="27" t="s">
        <v>1994</v>
      </c>
      <c r="C191" s="26" t="s">
        <v>383</v>
      </c>
      <c r="D191" s="26">
        <v>-349</v>
      </c>
      <c r="E191" s="26">
        <v>0</v>
      </c>
      <c r="F191" s="26">
        <v>13.4</v>
      </c>
      <c r="G191" s="26">
        <v>12.66</v>
      </c>
      <c r="I191" s="26" t="str">
        <f t="shared" si="5"/>
        <v>Y</v>
      </c>
    </row>
    <row r="192" spans="1:9" x14ac:dyDescent="0.15">
      <c r="A192" s="26">
        <f t="shared" si="4"/>
        <v>1722</v>
      </c>
      <c r="B192" s="27" t="s">
        <v>1995</v>
      </c>
      <c r="C192" s="26" t="s">
        <v>384</v>
      </c>
      <c r="D192" s="26">
        <v>372</v>
      </c>
      <c r="E192" s="26">
        <v>0</v>
      </c>
      <c r="F192" s="26">
        <v>46.1</v>
      </c>
      <c r="G192" s="26">
        <v>44.92</v>
      </c>
      <c r="I192" s="26" t="str">
        <f t="shared" si="5"/>
        <v>Y</v>
      </c>
    </row>
    <row r="193" spans="1:9" x14ac:dyDescent="0.15">
      <c r="A193" s="26">
        <f t="shared" si="4"/>
        <v>1723</v>
      </c>
      <c r="B193" s="27" t="s">
        <v>1996</v>
      </c>
      <c r="C193" s="26" t="s">
        <v>385</v>
      </c>
      <c r="D193" s="26">
        <v>45</v>
      </c>
      <c r="E193" s="26">
        <v>0</v>
      </c>
      <c r="F193" s="26">
        <v>122</v>
      </c>
      <c r="G193" s="26">
        <v>116.42</v>
      </c>
      <c r="I193" s="26" t="str">
        <f t="shared" si="5"/>
        <v>Y</v>
      </c>
    </row>
    <row r="194" spans="1:9" x14ac:dyDescent="0.15">
      <c r="A194" s="26">
        <f t="shared" si="4"/>
        <v>1724</v>
      </c>
      <c r="B194" s="27" t="s">
        <v>1997</v>
      </c>
      <c r="C194" s="26" t="s">
        <v>386</v>
      </c>
      <c r="D194" s="26">
        <v>0</v>
      </c>
      <c r="E194" s="26">
        <v>0</v>
      </c>
      <c r="F194" s="26">
        <v>15.6</v>
      </c>
      <c r="G194" s="26">
        <v>15.19</v>
      </c>
      <c r="I194" s="26" t="str">
        <f t="shared" si="5"/>
        <v>Y</v>
      </c>
    </row>
    <row r="195" spans="1:9" x14ac:dyDescent="0.15">
      <c r="A195" s="26">
        <f t="shared" si="4"/>
        <v>1725</v>
      </c>
      <c r="B195" s="27" t="s">
        <v>1998</v>
      </c>
      <c r="C195" s="26" t="s">
        <v>387</v>
      </c>
      <c r="D195" s="26">
        <v>0</v>
      </c>
      <c r="E195" s="26">
        <v>0</v>
      </c>
      <c r="F195" s="26">
        <v>13.8</v>
      </c>
      <c r="G195" s="26">
        <v>13.54</v>
      </c>
      <c r="I195" s="26" t="str">
        <f t="shared" si="5"/>
        <v>Y</v>
      </c>
    </row>
    <row r="196" spans="1:9" x14ac:dyDescent="0.15">
      <c r="A196" s="26">
        <f t="shared" si="4"/>
        <v>1726</v>
      </c>
      <c r="B196" s="27" t="s">
        <v>1999</v>
      </c>
      <c r="C196" s="26" t="s">
        <v>388</v>
      </c>
      <c r="D196" s="26">
        <v>17</v>
      </c>
      <c r="E196" s="26">
        <v>0</v>
      </c>
      <c r="F196" s="26">
        <v>78.599999999999994</v>
      </c>
      <c r="G196" s="26">
        <v>76.62</v>
      </c>
      <c r="I196" s="26" t="str">
        <f t="shared" si="5"/>
        <v>Y</v>
      </c>
    </row>
    <row r="197" spans="1:9" x14ac:dyDescent="0.15">
      <c r="A197" s="26">
        <f t="shared" si="4"/>
        <v>1727</v>
      </c>
      <c r="B197" s="27" t="s">
        <v>2000</v>
      </c>
      <c r="C197" s="26" t="s">
        <v>389</v>
      </c>
      <c r="D197" s="26">
        <v>13</v>
      </c>
      <c r="E197" s="26">
        <v>0</v>
      </c>
      <c r="F197" s="26">
        <v>14.9</v>
      </c>
      <c r="G197" s="26">
        <v>14.2</v>
      </c>
      <c r="I197" s="26" t="str">
        <f t="shared" si="5"/>
        <v>Y</v>
      </c>
    </row>
    <row r="198" spans="1:9" x14ac:dyDescent="0.15">
      <c r="A198" s="26">
        <f t="shared" si="4"/>
        <v>1729</v>
      </c>
      <c r="B198" s="27" t="s">
        <v>2001</v>
      </c>
      <c r="C198" s="26" t="s">
        <v>390</v>
      </c>
      <c r="D198" s="26">
        <v>-32</v>
      </c>
      <c r="E198" s="26">
        <v>0</v>
      </c>
      <c r="F198" s="26">
        <v>73.7</v>
      </c>
      <c r="G198" s="26">
        <v>70.569999999999993</v>
      </c>
      <c r="I198" s="26" t="str">
        <f t="shared" si="5"/>
        <v>Y</v>
      </c>
    </row>
    <row r="199" spans="1:9" x14ac:dyDescent="0.15">
      <c r="A199" s="26">
        <f t="shared" ref="A199:A262" si="6">VALUE(B199)</f>
        <v>1730</v>
      </c>
      <c r="B199" s="27" t="s">
        <v>2002</v>
      </c>
      <c r="C199" s="26" t="s">
        <v>391</v>
      </c>
      <c r="D199" s="26">
        <v>10</v>
      </c>
      <c r="E199" s="26">
        <v>0</v>
      </c>
      <c r="F199" s="26">
        <v>36.85</v>
      </c>
      <c r="G199" s="26">
        <v>36.51</v>
      </c>
      <c r="I199" s="26" t="str">
        <f t="shared" ref="I199:I262" si="7">IF(F199&gt;G199,"Y","-")</f>
        <v>Y</v>
      </c>
    </row>
    <row r="200" spans="1:9" x14ac:dyDescent="0.15">
      <c r="A200" s="26">
        <f t="shared" si="6"/>
        <v>1731</v>
      </c>
      <c r="B200" s="27" t="s">
        <v>2003</v>
      </c>
      <c r="C200" s="26" t="s">
        <v>392</v>
      </c>
      <c r="D200" s="26">
        <v>-2</v>
      </c>
      <c r="E200" s="26">
        <v>0</v>
      </c>
      <c r="F200" s="26">
        <v>13.7</v>
      </c>
      <c r="G200" s="26">
        <v>13.68</v>
      </c>
      <c r="I200" s="26" t="str">
        <f t="shared" si="7"/>
        <v>Y</v>
      </c>
    </row>
    <row r="201" spans="1:9" x14ac:dyDescent="0.15">
      <c r="A201" s="26">
        <f t="shared" si="6"/>
        <v>1732</v>
      </c>
      <c r="B201" s="27" t="s">
        <v>2004</v>
      </c>
      <c r="C201" s="26" t="s">
        <v>393</v>
      </c>
      <c r="D201" s="26">
        <v>0</v>
      </c>
      <c r="E201" s="26">
        <v>0</v>
      </c>
      <c r="F201" s="26">
        <v>13.65</v>
      </c>
      <c r="G201" s="26">
        <v>13.62</v>
      </c>
      <c r="I201" s="26" t="str">
        <f t="shared" si="7"/>
        <v>Y</v>
      </c>
    </row>
    <row r="202" spans="1:9" x14ac:dyDescent="0.15">
      <c r="A202" s="26">
        <f t="shared" si="6"/>
        <v>1733</v>
      </c>
      <c r="B202" s="27" t="s">
        <v>2005</v>
      </c>
      <c r="C202" s="26" t="s">
        <v>394</v>
      </c>
      <c r="D202" s="26">
        <v>-1</v>
      </c>
      <c r="E202" s="26">
        <v>0</v>
      </c>
      <c r="F202" s="26">
        <v>45.4</v>
      </c>
      <c r="G202" s="26">
        <v>44.37</v>
      </c>
      <c r="I202" s="26" t="str">
        <f t="shared" si="7"/>
        <v>Y</v>
      </c>
    </row>
    <row r="203" spans="1:9" x14ac:dyDescent="0.15">
      <c r="A203" s="26">
        <f t="shared" si="6"/>
        <v>1734</v>
      </c>
      <c r="B203" s="27" t="s">
        <v>2006</v>
      </c>
      <c r="C203" s="26" t="s">
        <v>395</v>
      </c>
      <c r="D203" s="26">
        <v>3</v>
      </c>
      <c r="E203" s="26">
        <v>0</v>
      </c>
      <c r="F203" s="26">
        <v>29.2</v>
      </c>
      <c r="G203" s="26">
        <v>28.67</v>
      </c>
      <c r="I203" s="26" t="str">
        <f t="shared" si="7"/>
        <v>Y</v>
      </c>
    </row>
    <row r="204" spans="1:9" x14ac:dyDescent="0.15">
      <c r="A204" s="26">
        <f t="shared" si="6"/>
        <v>1735</v>
      </c>
      <c r="B204" s="27" t="s">
        <v>2007</v>
      </c>
      <c r="C204" s="26" t="s">
        <v>396</v>
      </c>
      <c r="D204" s="26">
        <v>-1</v>
      </c>
      <c r="E204" s="26">
        <v>0</v>
      </c>
      <c r="F204" s="26">
        <v>12.1</v>
      </c>
      <c r="G204" s="26">
        <v>11.81</v>
      </c>
      <c r="I204" s="26" t="str">
        <f t="shared" si="7"/>
        <v>Y</v>
      </c>
    </row>
    <row r="205" spans="1:9" x14ac:dyDescent="0.15">
      <c r="A205" s="26">
        <f t="shared" si="6"/>
        <v>1736</v>
      </c>
      <c r="B205" s="27" t="s">
        <v>2008</v>
      </c>
      <c r="C205" s="26" t="s">
        <v>397</v>
      </c>
      <c r="D205" s="26">
        <v>-11</v>
      </c>
      <c r="E205" s="26">
        <v>0</v>
      </c>
      <c r="F205" s="26">
        <v>54.6</v>
      </c>
      <c r="G205" s="26">
        <v>54.12</v>
      </c>
      <c r="I205" s="26" t="str">
        <f t="shared" si="7"/>
        <v>Y</v>
      </c>
    </row>
    <row r="206" spans="1:9" x14ac:dyDescent="0.15">
      <c r="A206" s="26">
        <f t="shared" si="6"/>
        <v>1737</v>
      </c>
      <c r="B206" s="27" t="s">
        <v>2009</v>
      </c>
      <c r="C206" s="26" t="s">
        <v>398</v>
      </c>
      <c r="D206" s="26">
        <v>-192</v>
      </c>
      <c r="E206" s="26">
        <v>0</v>
      </c>
      <c r="F206" s="26">
        <v>32.049999999999997</v>
      </c>
      <c r="G206" s="26">
        <v>30.88</v>
      </c>
      <c r="I206" s="26" t="str">
        <f t="shared" si="7"/>
        <v>Y</v>
      </c>
    </row>
    <row r="207" spans="1:9" x14ac:dyDescent="0.15">
      <c r="A207" s="26">
        <f t="shared" si="6"/>
        <v>1742</v>
      </c>
      <c r="B207" s="27" t="s">
        <v>2010</v>
      </c>
      <c r="C207" s="26" t="s">
        <v>399</v>
      </c>
      <c r="D207" s="26">
        <v>-22</v>
      </c>
      <c r="E207" s="26">
        <v>0</v>
      </c>
      <c r="F207" s="26">
        <v>12.25</v>
      </c>
      <c r="G207" s="26">
        <v>10.52</v>
      </c>
      <c r="I207" s="26" t="str">
        <f t="shared" si="7"/>
        <v>Y</v>
      </c>
    </row>
    <row r="208" spans="1:9" x14ac:dyDescent="0.15">
      <c r="A208" s="26">
        <f t="shared" si="6"/>
        <v>1752</v>
      </c>
      <c r="B208" s="27" t="s">
        <v>2011</v>
      </c>
      <c r="C208" s="26" t="s">
        <v>400</v>
      </c>
      <c r="D208" s="26">
        <v>-51</v>
      </c>
      <c r="E208" s="26">
        <v>0</v>
      </c>
      <c r="F208" s="26">
        <v>44</v>
      </c>
      <c r="G208" s="26">
        <v>44.55</v>
      </c>
      <c r="I208" s="26" t="str">
        <f t="shared" si="7"/>
        <v>-</v>
      </c>
    </row>
    <row r="209" spans="1:9" x14ac:dyDescent="0.15">
      <c r="A209" s="26">
        <f t="shared" si="6"/>
        <v>1762</v>
      </c>
      <c r="B209" s="27" t="s">
        <v>2012</v>
      </c>
      <c r="C209" s="26" t="s">
        <v>401</v>
      </c>
      <c r="D209" s="26">
        <v>-46</v>
      </c>
      <c r="E209" s="26">
        <v>0</v>
      </c>
      <c r="F209" s="26">
        <v>40.5</v>
      </c>
      <c r="G209" s="26">
        <v>40.950000000000003</v>
      </c>
      <c r="I209" s="26" t="str">
        <f t="shared" si="7"/>
        <v>-</v>
      </c>
    </row>
    <row r="210" spans="1:9" x14ac:dyDescent="0.15">
      <c r="A210" s="26">
        <f t="shared" si="6"/>
        <v>1773</v>
      </c>
      <c r="B210" s="27" t="s">
        <v>2013</v>
      </c>
      <c r="C210" s="26" t="s">
        <v>402</v>
      </c>
      <c r="D210" s="26">
        <v>-7</v>
      </c>
      <c r="E210" s="26">
        <v>-4</v>
      </c>
      <c r="F210" s="26">
        <v>43.6</v>
      </c>
      <c r="G210" s="26">
        <v>41.06</v>
      </c>
      <c r="I210" s="26" t="str">
        <f t="shared" si="7"/>
        <v>Y</v>
      </c>
    </row>
    <row r="211" spans="1:9" x14ac:dyDescent="0.15">
      <c r="A211" s="26">
        <f t="shared" si="6"/>
        <v>1777</v>
      </c>
      <c r="B211" s="27" t="s">
        <v>2014</v>
      </c>
      <c r="C211" s="26" t="s">
        <v>403</v>
      </c>
      <c r="D211" s="26">
        <v>3</v>
      </c>
      <c r="E211" s="26">
        <v>0</v>
      </c>
      <c r="F211" s="26">
        <v>90</v>
      </c>
      <c r="G211" s="26">
        <v>86.46</v>
      </c>
      <c r="I211" s="26" t="str">
        <f t="shared" si="7"/>
        <v>Y</v>
      </c>
    </row>
    <row r="212" spans="1:9" x14ac:dyDescent="0.15">
      <c r="A212" s="26">
        <f t="shared" si="6"/>
        <v>1781</v>
      </c>
      <c r="B212" s="27" t="s">
        <v>2015</v>
      </c>
      <c r="C212" s="26" t="s">
        <v>404</v>
      </c>
      <c r="D212" s="26">
        <v>1</v>
      </c>
      <c r="E212" s="26">
        <v>0</v>
      </c>
      <c r="F212" s="26">
        <v>25.35</v>
      </c>
      <c r="G212" s="26">
        <v>25.11</v>
      </c>
      <c r="I212" s="26" t="str">
        <f t="shared" si="7"/>
        <v>Y</v>
      </c>
    </row>
    <row r="213" spans="1:9" x14ac:dyDescent="0.15">
      <c r="A213" s="26">
        <f t="shared" si="6"/>
        <v>1783</v>
      </c>
      <c r="B213" s="27" t="s">
        <v>2016</v>
      </c>
      <c r="C213" s="26" t="s">
        <v>405</v>
      </c>
      <c r="D213" s="26">
        <v>-7</v>
      </c>
      <c r="E213" s="26">
        <v>0</v>
      </c>
      <c r="F213" s="26">
        <v>23.15</v>
      </c>
      <c r="G213" s="26">
        <v>23.04</v>
      </c>
      <c r="I213" s="26" t="str">
        <f t="shared" si="7"/>
        <v>Y</v>
      </c>
    </row>
    <row r="214" spans="1:9" x14ac:dyDescent="0.15">
      <c r="A214" s="26">
        <f t="shared" si="6"/>
        <v>1784</v>
      </c>
      <c r="B214" s="27" t="s">
        <v>2017</v>
      </c>
      <c r="C214" s="26" t="s">
        <v>406</v>
      </c>
      <c r="D214" s="26">
        <v>2</v>
      </c>
      <c r="E214" s="26">
        <v>0</v>
      </c>
      <c r="F214" s="26">
        <v>32.85</v>
      </c>
      <c r="G214" s="26">
        <v>32.85</v>
      </c>
      <c r="I214" s="26" t="str">
        <f t="shared" si="7"/>
        <v>-</v>
      </c>
    </row>
    <row r="215" spans="1:9" x14ac:dyDescent="0.15">
      <c r="A215" s="26">
        <f t="shared" si="6"/>
        <v>1785</v>
      </c>
      <c r="B215" s="27" t="s">
        <v>2018</v>
      </c>
      <c r="C215" s="26" t="s">
        <v>407</v>
      </c>
      <c r="D215" s="26">
        <v>181</v>
      </c>
      <c r="E215" s="26">
        <v>0</v>
      </c>
      <c r="F215" s="26">
        <v>22</v>
      </c>
      <c r="G215" s="26">
        <v>19.53</v>
      </c>
      <c r="I215" s="26" t="str">
        <f t="shared" si="7"/>
        <v>Y</v>
      </c>
    </row>
    <row r="216" spans="1:9" x14ac:dyDescent="0.15">
      <c r="A216" s="26">
        <f t="shared" si="6"/>
        <v>1786</v>
      </c>
      <c r="B216" s="27" t="s">
        <v>2019</v>
      </c>
      <c r="C216" s="26" t="s">
        <v>408</v>
      </c>
      <c r="D216" s="26">
        <v>-7</v>
      </c>
      <c r="E216" s="26">
        <v>0</v>
      </c>
      <c r="F216" s="26">
        <v>57.5</v>
      </c>
      <c r="G216" s="26">
        <v>55.15</v>
      </c>
      <c r="I216" s="26" t="str">
        <f t="shared" si="7"/>
        <v>Y</v>
      </c>
    </row>
    <row r="217" spans="1:9" x14ac:dyDescent="0.15">
      <c r="A217" s="26">
        <f t="shared" si="6"/>
        <v>1787</v>
      </c>
      <c r="B217" s="27" t="s">
        <v>2020</v>
      </c>
      <c r="C217" s="26" t="s">
        <v>409</v>
      </c>
      <c r="D217" s="26">
        <v>10</v>
      </c>
      <c r="E217" s="26">
        <v>0</v>
      </c>
      <c r="F217" s="26">
        <v>22.05</v>
      </c>
      <c r="G217" s="26">
        <v>21.85</v>
      </c>
      <c r="I217" s="26" t="str">
        <f t="shared" si="7"/>
        <v>Y</v>
      </c>
    </row>
    <row r="218" spans="1:9" x14ac:dyDescent="0.15">
      <c r="A218" s="26">
        <f t="shared" si="6"/>
        <v>1788</v>
      </c>
      <c r="B218" s="27" t="s">
        <v>2021</v>
      </c>
      <c r="C218" s="26" t="s">
        <v>410</v>
      </c>
      <c r="D218" s="26">
        <v>-4</v>
      </c>
      <c r="E218" s="26">
        <v>0</v>
      </c>
      <c r="F218" s="26">
        <v>101</v>
      </c>
      <c r="G218" s="26">
        <v>100.79</v>
      </c>
      <c r="I218" s="26" t="str">
        <f t="shared" si="7"/>
        <v>Y</v>
      </c>
    </row>
    <row r="219" spans="1:9" x14ac:dyDescent="0.15">
      <c r="A219" s="26">
        <f t="shared" si="6"/>
        <v>1789</v>
      </c>
      <c r="B219" s="27" t="s">
        <v>2022</v>
      </c>
      <c r="C219" s="26" t="s">
        <v>411</v>
      </c>
      <c r="D219" s="26">
        <v>-11</v>
      </c>
      <c r="E219" s="26">
        <v>-85</v>
      </c>
      <c r="F219" s="26">
        <v>53.4</v>
      </c>
      <c r="G219" s="26">
        <v>54.91</v>
      </c>
      <c r="I219" s="26" t="str">
        <f t="shared" si="7"/>
        <v>-</v>
      </c>
    </row>
    <row r="220" spans="1:9" x14ac:dyDescent="0.15">
      <c r="A220" s="26">
        <f t="shared" si="6"/>
        <v>1795</v>
      </c>
      <c r="B220" s="27" t="s">
        <v>2023</v>
      </c>
      <c r="C220" s="26" t="s">
        <v>412</v>
      </c>
      <c r="D220" s="26">
        <v>24</v>
      </c>
      <c r="E220" s="26">
        <v>0</v>
      </c>
      <c r="F220" s="26">
        <v>69.8</v>
      </c>
      <c r="G220" s="26">
        <v>67.48</v>
      </c>
      <c r="I220" s="26" t="str">
        <f t="shared" si="7"/>
        <v>Y</v>
      </c>
    </row>
    <row r="221" spans="1:9" x14ac:dyDescent="0.15">
      <c r="A221" s="26">
        <f t="shared" si="6"/>
        <v>1799</v>
      </c>
      <c r="B221" s="27" t="s">
        <v>2024</v>
      </c>
      <c r="C221" s="26" t="s">
        <v>413</v>
      </c>
      <c r="D221" s="26">
        <v>1</v>
      </c>
      <c r="E221" s="26">
        <v>0</v>
      </c>
      <c r="F221" s="26">
        <v>34</v>
      </c>
      <c r="G221" s="26">
        <v>34.049999999999997</v>
      </c>
      <c r="I221" s="26" t="str">
        <f t="shared" si="7"/>
        <v>-</v>
      </c>
    </row>
    <row r="222" spans="1:9" x14ac:dyDescent="0.15">
      <c r="A222" s="26">
        <f t="shared" si="6"/>
        <v>1802</v>
      </c>
      <c r="B222" s="27" t="s">
        <v>2025</v>
      </c>
      <c r="C222" s="26" t="s">
        <v>414</v>
      </c>
      <c r="D222" s="26">
        <v>132</v>
      </c>
      <c r="E222" s="26">
        <v>0</v>
      </c>
      <c r="F222" s="26">
        <v>14.6</v>
      </c>
      <c r="G222" s="26">
        <v>13.09</v>
      </c>
      <c r="I222" s="26" t="str">
        <f t="shared" si="7"/>
        <v>Y</v>
      </c>
    </row>
    <row r="223" spans="1:9" x14ac:dyDescent="0.15">
      <c r="A223" s="26">
        <f t="shared" si="6"/>
        <v>1805</v>
      </c>
      <c r="B223" s="27" t="s">
        <v>2026</v>
      </c>
      <c r="C223" s="26" t="s">
        <v>415</v>
      </c>
      <c r="D223" s="26">
        <v>-17</v>
      </c>
      <c r="E223" s="26">
        <v>0</v>
      </c>
      <c r="F223" s="26">
        <v>6.96</v>
      </c>
      <c r="G223" s="26">
        <v>6.88</v>
      </c>
      <c r="I223" s="26" t="str">
        <f t="shared" si="7"/>
        <v>Y</v>
      </c>
    </row>
    <row r="224" spans="1:9" x14ac:dyDescent="0.15">
      <c r="A224" s="26">
        <f t="shared" si="6"/>
        <v>1806</v>
      </c>
      <c r="B224" s="27" t="s">
        <v>2027</v>
      </c>
      <c r="C224" s="26" t="s">
        <v>416</v>
      </c>
      <c r="D224" s="26">
        <v>5</v>
      </c>
      <c r="E224" s="26">
        <v>0</v>
      </c>
      <c r="F224" s="26">
        <v>7.04</v>
      </c>
      <c r="G224" s="26">
        <v>6.86</v>
      </c>
      <c r="I224" s="26" t="str">
        <f t="shared" si="7"/>
        <v>Y</v>
      </c>
    </row>
    <row r="225" spans="1:9" x14ac:dyDescent="0.15">
      <c r="A225" s="26">
        <f t="shared" si="6"/>
        <v>1808</v>
      </c>
      <c r="B225" s="27" t="s">
        <v>2028</v>
      </c>
      <c r="C225" s="26" t="s">
        <v>417</v>
      </c>
      <c r="D225" s="26">
        <v>13</v>
      </c>
      <c r="E225" s="26">
        <v>0</v>
      </c>
      <c r="F225" s="26">
        <v>28.8</v>
      </c>
      <c r="G225" s="26">
        <v>27.81</v>
      </c>
      <c r="I225" s="26" t="str">
        <f t="shared" si="7"/>
        <v>Y</v>
      </c>
    </row>
    <row r="226" spans="1:9" x14ac:dyDescent="0.15">
      <c r="A226" s="26">
        <f t="shared" si="6"/>
        <v>1809</v>
      </c>
      <c r="B226" s="27" t="s">
        <v>2029</v>
      </c>
      <c r="C226" s="26" t="s">
        <v>418</v>
      </c>
      <c r="D226" s="26">
        <v>-54</v>
      </c>
      <c r="E226" s="26">
        <v>0</v>
      </c>
      <c r="F226" s="26">
        <v>10.8</v>
      </c>
      <c r="G226" s="26">
        <v>10.64</v>
      </c>
      <c r="I226" s="26" t="str">
        <f t="shared" si="7"/>
        <v>Y</v>
      </c>
    </row>
    <row r="227" spans="1:9" x14ac:dyDescent="0.15">
      <c r="A227" s="26">
        <f t="shared" si="6"/>
        <v>1810</v>
      </c>
      <c r="B227" s="27" t="s">
        <v>2030</v>
      </c>
      <c r="C227" s="26" t="s">
        <v>419</v>
      </c>
      <c r="D227" s="26">
        <v>71</v>
      </c>
      <c r="E227" s="26">
        <v>0</v>
      </c>
      <c r="F227" s="26">
        <v>8.48</v>
      </c>
      <c r="G227" s="26">
        <v>8.2100000000000009</v>
      </c>
      <c r="I227" s="26" t="str">
        <f t="shared" si="7"/>
        <v>Y</v>
      </c>
    </row>
    <row r="228" spans="1:9" x14ac:dyDescent="0.15">
      <c r="A228" s="26">
        <f t="shared" si="6"/>
        <v>1813</v>
      </c>
      <c r="B228" s="27" t="s">
        <v>2031</v>
      </c>
      <c r="C228" s="26" t="s">
        <v>420</v>
      </c>
      <c r="D228" s="26">
        <v>0</v>
      </c>
      <c r="E228" s="26">
        <v>0</v>
      </c>
      <c r="F228" s="26">
        <v>29.6</v>
      </c>
      <c r="G228" s="26">
        <v>28.45</v>
      </c>
      <c r="I228" s="26" t="str">
        <f t="shared" si="7"/>
        <v>Y</v>
      </c>
    </row>
    <row r="229" spans="1:9" x14ac:dyDescent="0.15">
      <c r="A229" s="26">
        <f t="shared" si="6"/>
        <v>1815</v>
      </c>
      <c r="B229" s="27" t="s">
        <v>2032</v>
      </c>
      <c r="C229" s="26" t="s">
        <v>421</v>
      </c>
      <c r="D229" s="26">
        <v>15</v>
      </c>
      <c r="E229" s="26">
        <v>0</v>
      </c>
      <c r="F229" s="26">
        <v>11.55</v>
      </c>
      <c r="G229" s="26">
        <v>10.84</v>
      </c>
      <c r="I229" s="26" t="str">
        <f t="shared" si="7"/>
        <v>Y</v>
      </c>
    </row>
    <row r="230" spans="1:9" x14ac:dyDescent="0.15">
      <c r="A230" s="26">
        <f t="shared" si="6"/>
        <v>1817</v>
      </c>
      <c r="B230" s="27" t="s">
        <v>2033</v>
      </c>
      <c r="C230" s="26" t="s">
        <v>422</v>
      </c>
      <c r="D230" s="26">
        <v>-13</v>
      </c>
      <c r="E230" s="26">
        <v>0</v>
      </c>
      <c r="F230" s="26">
        <v>39.950000000000003</v>
      </c>
      <c r="G230" s="26">
        <v>41.58</v>
      </c>
      <c r="I230" s="26" t="str">
        <f t="shared" si="7"/>
        <v>-</v>
      </c>
    </row>
    <row r="231" spans="1:9" x14ac:dyDescent="0.15">
      <c r="A231" s="26">
        <f t="shared" si="6"/>
        <v>1902</v>
      </c>
      <c r="B231" s="27" t="s">
        <v>2034</v>
      </c>
      <c r="C231" s="26" t="s">
        <v>423</v>
      </c>
      <c r="D231" s="26">
        <v>-17</v>
      </c>
      <c r="E231" s="26">
        <v>0</v>
      </c>
      <c r="F231" s="26">
        <v>11.75</v>
      </c>
      <c r="G231" s="26">
        <v>10.89</v>
      </c>
      <c r="I231" s="26" t="str">
        <f t="shared" si="7"/>
        <v>Y</v>
      </c>
    </row>
    <row r="232" spans="1:9" x14ac:dyDescent="0.15">
      <c r="A232" s="26">
        <f t="shared" si="6"/>
        <v>1903</v>
      </c>
      <c r="B232" s="27" t="s">
        <v>2035</v>
      </c>
      <c r="C232" s="26" t="s">
        <v>424</v>
      </c>
      <c r="D232" s="26">
        <v>2</v>
      </c>
      <c r="E232" s="26">
        <v>0</v>
      </c>
      <c r="F232" s="26">
        <v>31.6</v>
      </c>
      <c r="G232" s="26">
        <v>29.93</v>
      </c>
      <c r="I232" s="26" t="str">
        <f t="shared" si="7"/>
        <v>Y</v>
      </c>
    </row>
    <row r="233" spans="1:9" x14ac:dyDescent="0.15">
      <c r="A233" s="26">
        <f t="shared" si="6"/>
        <v>1904</v>
      </c>
      <c r="B233" s="27" t="s">
        <v>2036</v>
      </c>
      <c r="C233" s="26" t="s">
        <v>425</v>
      </c>
      <c r="D233" s="26">
        <v>152</v>
      </c>
      <c r="E233" s="26">
        <v>0</v>
      </c>
      <c r="F233" s="26">
        <v>11.6</v>
      </c>
      <c r="G233" s="26">
        <v>11.39</v>
      </c>
      <c r="I233" s="26" t="str">
        <f t="shared" si="7"/>
        <v>Y</v>
      </c>
    </row>
    <row r="234" spans="1:9" x14ac:dyDescent="0.15">
      <c r="A234" s="26">
        <f t="shared" si="6"/>
        <v>1905</v>
      </c>
      <c r="B234" s="27" t="s">
        <v>2037</v>
      </c>
      <c r="C234" s="26" t="s">
        <v>426</v>
      </c>
      <c r="D234" s="26">
        <v>-77</v>
      </c>
      <c r="E234" s="26">
        <v>0</v>
      </c>
      <c r="F234" s="26">
        <v>9.6999999999999993</v>
      </c>
      <c r="G234" s="26">
        <v>9.42</v>
      </c>
      <c r="I234" s="26" t="str">
        <f t="shared" si="7"/>
        <v>Y</v>
      </c>
    </row>
    <row r="235" spans="1:9" x14ac:dyDescent="0.15">
      <c r="A235" s="26">
        <f t="shared" si="6"/>
        <v>1906</v>
      </c>
      <c r="B235" s="27" t="s">
        <v>2038</v>
      </c>
      <c r="C235" s="26" t="s">
        <v>427</v>
      </c>
      <c r="D235" s="26">
        <v>0</v>
      </c>
      <c r="E235" s="26">
        <v>0</v>
      </c>
      <c r="F235" s="26">
        <v>7.38</v>
      </c>
      <c r="G235" s="26">
        <v>7.33</v>
      </c>
      <c r="I235" s="26" t="str">
        <f t="shared" si="7"/>
        <v>Y</v>
      </c>
    </row>
    <row r="236" spans="1:9" x14ac:dyDescent="0.15">
      <c r="A236" s="26">
        <f t="shared" si="6"/>
        <v>1907</v>
      </c>
      <c r="B236" s="27" t="s">
        <v>2039</v>
      </c>
      <c r="C236" s="26" t="s">
        <v>428</v>
      </c>
      <c r="D236" s="26">
        <v>476</v>
      </c>
      <c r="E236" s="26">
        <v>0</v>
      </c>
      <c r="F236" s="26">
        <v>10.85</v>
      </c>
      <c r="G236" s="26">
        <v>10.33</v>
      </c>
      <c r="I236" s="26" t="str">
        <f t="shared" si="7"/>
        <v>Y</v>
      </c>
    </row>
    <row r="237" spans="1:9" x14ac:dyDescent="0.15">
      <c r="A237" s="26">
        <f t="shared" si="6"/>
        <v>1909</v>
      </c>
      <c r="B237" s="27" t="s">
        <v>2040</v>
      </c>
      <c r="C237" s="26" t="s">
        <v>429</v>
      </c>
      <c r="D237" s="26">
        <v>137</v>
      </c>
      <c r="E237" s="26">
        <v>0</v>
      </c>
      <c r="F237" s="26">
        <v>11.3</v>
      </c>
      <c r="G237" s="26">
        <v>10.72</v>
      </c>
      <c r="I237" s="26" t="str">
        <f t="shared" si="7"/>
        <v>Y</v>
      </c>
    </row>
    <row r="238" spans="1:9" x14ac:dyDescent="0.15">
      <c r="A238" s="26">
        <f t="shared" si="6"/>
        <v>2002</v>
      </c>
      <c r="B238" s="27" t="s">
        <v>2041</v>
      </c>
      <c r="C238" s="26" t="s">
        <v>430</v>
      </c>
      <c r="D238" s="26">
        <v>9081</v>
      </c>
      <c r="E238" s="26">
        <v>4520</v>
      </c>
      <c r="F238" s="26">
        <v>22.6</v>
      </c>
      <c r="G238" s="26">
        <v>20.54</v>
      </c>
      <c r="I238" s="26" t="str">
        <f t="shared" si="7"/>
        <v>Y</v>
      </c>
    </row>
    <row r="239" spans="1:9" x14ac:dyDescent="0.15">
      <c r="A239" s="26">
        <f t="shared" si="6"/>
        <v>2006</v>
      </c>
      <c r="B239" s="27" t="s">
        <v>2042</v>
      </c>
      <c r="C239" s="26" t="s">
        <v>431</v>
      </c>
      <c r="D239" s="26">
        <v>17</v>
      </c>
      <c r="E239" s="26">
        <v>0</v>
      </c>
      <c r="F239" s="26">
        <v>20.6</v>
      </c>
      <c r="G239" s="26">
        <v>19.77</v>
      </c>
      <c r="I239" s="26" t="str">
        <f t="shared" si="7"/>
        <v>Y</v>
      </c>
    </row>
    <row r="240" spans="1:9" x14ac:dyDescent="0.15">
      <c r="A240" s="26">
        <f t="shared" si="6"/>
        <v>2007</v>
      </c>
      <c r="B240" s="27" t="s">
        <v>2043</v>
      </c>
      <c r="C240" s="26" t="s">
        <v>432</v>
      </c>
      <c r="D240" s="26">
        <v>98</v>
      </c>
      <c r="E240" s="26">
        <v>0</v>
      </c>
      <c r="F240" s="26">
        <v>5.48</v>
      </c>
      <c r="G240" s="26">
        <v>5.07</v>
      </c>
      <c r="I240" s="26" t="str">
        <f t="shared" si="7"/>
        <v>Y</v>
      </c>
    </row>
    <row r="241" spans="1:9" x14ac:dyDescent="0.15">
      <c r="A241" s="26">
        <f t="shared" si="6"/>
        <v>2008</v>
      </c>
      <c r="B241" s="27" t="s">
        <v>2044</v>
      </c>
      <c r="C241" s="26" t="s">
        <v>433</v>
      </c>
      <c r="D241" s="26">
        <v>-61</v>
      </c>
      <c r="E241" s="26">
        <v>0</v>
      </c>
      <c r="F241" s="26">
        <v>9.34</v>
      </c>
      <c r="G241" s="26">
        <v>9.61</v>
      </c>
      <c r="I241" s="26" t="str">
        <f t="shared" si="7"/>
        <v>-</v>
      </c>
    </row>
    <row r="242" spans="1:9" x14ac:dyDescent="0.15">
      <c r="A242" s="26">
        <f t="shared" si="6"/>
        <v>2009</v>
      </c>
      <c r="B242" s="27" t="s">
        <v>2045</v>
      </c>
      <c r="C242" s="26" t="s">
        <v>434</v>
      </c>
      <c r="D242" s="26">
        <v>-48</v>
      </c>
      <c r="E242" s="26">
        <v>0</v>
      </c>
      <c r="F242" s="26">
        <v>8.09</v>
      </c>
      <c r="G242" s="26">
        <v>7.04</v>
      </c>
      <c r="I242" s="26" t="str">
        <f t="shared" si="7"/>
        <v>Y</v>
      </c>
    </row>
    <row r="243" spans="1:9" x14ac:dyDescent="0.15">
      <c r="A243" s="26">
        <f t="shared" si="6"/>
        <v>2010</v>
      </c>
      <c r="B243" s="27" t="s">
        <v>2046</v>
      </c>
      <c r="C243" s="26" t="s">
        <v>435</v>
      </c>
      <c r="D243" s="26">
        <v>86</v>
      </c>
      <c r="E243" s="26">
        <v>-17</v>
      </c>
      <c r="F243" s="26">
        <v>10.4</v>
      </c>
      <c r="G243" s="26">
        <v>9.69</v>
      </c>
      <c r="I243" s="26" t="str">
        <f t="shared" si="7"/>
        <v>Y</v>
      </c>
    </row>
    <row r="244" spans="1:9" x14ac:dyDescent="0.15">
      <c r="A244" s="26">
        <f t="shared" si="6"/>
        <v>2012</v>
      </c>
      <c r="B244" s="27" t="s">
        <v>2047</v>
      </c>
      <c r="C244" s="26" t="s">
        <v>436</v>
      </c>
      <c r="D244" s="26">
        <v>-3</v>
      </c>
      <c r="E244" s="26">
        <v>0</v>
      </c>
      <c r="F244" s="26">
        <v>14</v>
      </c>
      <c r="G244" s="26">
        <v>13.95</v>
      </c>
      <c r="I244" s="26" t="str">
        <f t="shared" si="7"/>
        <v>Y</v>
      </c>
    </row>
    <row r="245" spans="1:9" x14ac:dyDescent="0.15">
      <c r="A245" s="26">
        <f t="shared" si="6"/>
        <v>2013</v>
      </c>
      <c r="B245" s="27" t="s">
        <v>2048</v>
      </c>
      <c r="C245" s="26" t="s">
        <v>437</v>
      </c>
      <c r="D245" s="26">
        <v>0</v>
      </c>
      <c r="E245" s="26">
        <v>0</v>
      </c>
      <c r="F245" s="26">
        <v>25.7</v>
      </c>
      <c r="G245" s="26">
        <v>25.14</v>
      </c>
      <c r="I245" s="26" t="str">
        <f t="shared" si="7"/>
        <v>Y</v>
      </c>
    </row>
    <row r="246" spans="1:9" x14ac:dyDescent="0.15">
      <c r="A246" s="26">
        <f t="shared" si="6"/>
        <v>2014</v>
      </c>
      <c r="B246" s="27" t="s">
        <v>2049</v>
      </c>
      <c r="C246" s="26" t="s">
        <v>438</v>
      </c>
      <c r="D246" s="26">
        <v>1377</v>
      </c>
      <c r="E246" s="26">
        <v>0</v>
      </c>
      <c r="F246" s="26">
        <v>7.9</v>
      </c>
      <c r="G246" s="26">
        <v>6.33</v>
      </c>
      <c r="I246" s="26" t="str">
        <f t="shared" si="7"/>
        <v>Y</v>
      </c>
    </row>
    <row r="247" spans="1:9" x14ac:dyDescent="0.15">
      <c r="A247" s="26">
        <f t="shared" si="6"/>
        <v>2015</v>
      </c>
      <c r="B247" s="27" t="s">
        <v>2050</v>
      </c>
      <c r="C247" s="26" t="s">
        <v>439</v>
      </c>
      <c r="D247" s="26">
        <v>-27</v>
      </c>
      <c r="E247" s="26">
        <v>0</v>
      </c>
      <c r="F247" s="26">
        <v>41.2</v>
      </c>
      <c r="G247" s="26">
        <v>39.31</v>
      </c>
      <c r="I247" s="26" t="str">
        <f t="shared" si="7"/>
        <v>Y</v>
      </c>
    </row>
    <row r="248" spans="1:9" x14ac:dyDescent="0.15">
      <c r="A248" s="26">
        <f t="shared" si="6"/>
        <v>2017</v>
      </c>
      <c r="B248" s="27" t="s">
        <v>2051</v>
      </c>
      <c r="C248" s="26" t="s">
        <v>440</v>
      </c>
      <c r="D248" s="26">
        <v>30</v>
      </c>
      <c r="E248" s="26">
        <v>0</v>
      </c>
      <c r="F248" s="26">
        <v>7.22</v>
      </c>
      <c r="G248" s="26">
        <v>7.09</v>
      </c>
      <c r="I248" s="26" t="str">
        <f t="shared" si="7"/>
        <v>Y</v>
      </c>
    </row>
    <row r="249" spans="1:9" x14ac:dyDescent="0.15">
      <c r="A249" s="26">
        <f t="shared" si="6"/>
        <v>2020</v>
      </c>
      <c r="B249" s="27" t="s">
        <v>2052</v>
      </c>
      <c r="C249" s="26" t="s">
        <v>441</v>
      </c>
      <c r="D249" s="26">
        <v>-20</v>
      </c>
      <c r="E249" s="26">
        <v>0</v>
      </c>
      <c r="F249" s="26">
        <v>12.6</v>
      </c>
      <c r="G249" s="26">
        <v>12.59</v>
      </c>
      <c r="I249" s="26" t="str">
        <f t="shared" si="7"/>
        <v>Y</v>
      </c>
    </row>
    <row r="250" spans="1:9" x14ac:dyDescent="0.15">
      <c r="A250" s="26">
        <f t="shared" si="6"/>
        <v>2022</v>
      </c>
      <c r="B250" s="27" t="s">
        <v>2053</v>
      </c>
      <c r="C250" s="26" t="s">
        <v>442</v>
      </c>
      <c r="D250" s="26">
        <v>-91</v>
      </c>
      <c r="E250" s="26">
        <v>0</v>
      </c>
      <c r="F250" s="26">
        <v>4.1900000000000004</v>
      </c>
      <c r="G250" s="26">
        <v>4.03</v>
      </c>
      <c r="I250" s="26" t="str">
        <f t="shared" si="7"/>
        <v>Y</v>
      </c>
    </row>
    <row r="251" spans="1:9" x14ac:dyDescent="0.15">
      <c r="A251" s="26">
        <f t="shared" si="6"/>
        <v>2023</v>
      </c>
      <c r="B251" s="27" t="s">
        <v>2054</v>
      </c>
      <c r="C251" s="26" t="s">
        <v>443</v>
      </c>
      <c r="D251" s="26">
        <v>-94</v>
      </c>
      <c r="E251" s="26">
        <v>0</v>
      </c>
      <c r="F251" s="26">
        <v>8.76</v>
      </c>
      <c r="G251" s="26">
        <v>8.0500000000000007</v>
      </c>
      <c r="I251" s="26" t="str">
        <f t="shared" si="7"/>
        <v>Y</v>
      </c>
    </row>
    <row r="252" spans="1:9" x14ac:dyDescent="0.15">
      <c r="A252" s="26">
        <f t="shared" si="6"/>
        <v>2024</v>
      </c>
      <c r="B252" s="27" t="s">
        <v>2055</v>
      </c>
      <c r="C252" s="26" t="s">
        <v>444</v>
      </c>
      <c r="D252" s="26">
        <v>-1</v>
      </c>
      <c r="E252" s="26">
        <v>0</v>
      </c>
      <c r="F252" s="26">
        <v>7.63</v>
      </c>
      <c r="G252" s="26">
        <v>7.15</v>
      </c>
      <c r="I252" s="26" t="str">
        <f t="shared" si="7"/>
        <v>Y</v>
      </c>
    </row>
    <row r="253" spans="1:9" x14ac:dyDescent="0.15">
      <c r="A253" s="26">
        <f t="shared" si="6"/>
        <v>2025</v>
      </c>
      <c r="B253" s="27" t="s">
        <v>2056</v>
      </c>
      <c r="C253" s="26" t="s">
        <v>445</v>
      </c>
      <c r="I253" s="26" t="str">
        <f t="shared" si="7"/>
        <v>-</v>
      </c>
    </row>
    <row r="254" spans="1:9" x14ac:dyDescent="0.15">
      <c r="A254" s="26">
        <f t="shared" si="6"/>
        <v>2027</v>
      </c>
      <c r="B254" s="27" t="s">
        <v>2057</v>
      </c>
      <c r="C254" s="26" t="s">
        <v>446</v>
      </c>
      <c r="D254" s="26">
        <v>508</v>
      </c>
      <c r="E254" s="26">
        <v>0</v>
      </c>
      <c r="F254" s="26">
        <v>17.25</v>
      </c>
      <c r="G254" s="26">
        <v>15.72</v>
      </c>
      <c r="I254" s="26" t="str">
        <f t="shared" si="7"/>
        <v>Y</v>
      </c>
    </row>
    <row r="255" spans="1:9" x14ac:dyDescent="0.15">
      <c r="A255" s="26">
        <f t="shared" si="6"/>
        <v>2028</v>
      </c>
      <c r="B255" s="27" t="s">
        <v>2058</v>
      </c>
      <c r="C255" s="26" t="s">
        <v>447</v>
      </c>
      <c r="D255" s="26">
        <v>-9</v>
      </c>
      <c r="E255" s="26">
        <v>0</v>
      </c>
      <c r="F255" s="26">
        <v>1.85</v>
      </c>
      <c r="G255" s="26">
        <v>1.75</v>
      </c>
      <c r="I255" s="26" t="str">
        <f t="shared" si="7"/>
        <v>Y</v>
      </c>
    </row>
    <row r="256" spans="1:9" x14ac:dyDescent="0.15">
      <c r="A256" s="26">
        <f t="shared" si="6"/>
        <v>2029</v>
      </c>
      <c r="B256" s="27" t="s">
        <v>2059</v>
      </c>
      <c r="C256" s="26" t="s">
        <v>448</v>
      </c>
      <c r="D256" s="26">
        <v>66</v>
      </c>
      <c r="E256" s="26">
        <v>0</v>
      </c>
      <c r="F256" s="26">
        <v>19.95</v>
      </c>
      <c r="G256" s="26">
        <v>18.5</v>
      </c>
      <c r="I256" s="26" t="str">
        <f t="shared" si="7"/>
        <v>Y</v>
      </c>
    </row>
    <row r="257" spans="1:9" x14ac:dyDescent="0.15">
      <c r="A257" s="26">
        <f t="shared" si="6"/>
        <v>2030</v>
      </c>
      <c r="B257" s="27" t="s">
        <v>2060</v>
      </c>
      <c r="C257" s="26" t="s">
        <v>449</v>
      </c>
      <c r="D257" s="26">
        <v>-26</v>
      </c>
      <c r="E257" s="26">
        <v>0</v>
      </c>
      <c r="F257" s="26">
        <v>11.35</v>
      </c>
      <c r="G257" s="26">
        <v>10.45</v>
      </c>
      <c r="I257" s="26" t="str">
        <f t="shared" si="7"/>
        <v>Y</v>
      </c>
    </row>
    <row r="258" spans="1:9" x14ac:dyDescent="0.15">
      <c r="A258" s="26">
        <f t="shared" si="6"/>
        <v>2031</v>
      </c>
      <c r="B258" s="27" t="s">
        <v>2061</v>
      </c>
      <c r="C258" s="26" t="s">
        <v>450</v>
      </c>
      <c r="D258" s="26">
        <v>96</v>
      </c>
      <c r="E258" s="26">
        <v>0</v>
      </c>
      <c r="F258" s="26">
        <v>15.9</v>
      </c>
      <c r="G258" s="26">
        <v>14.49</v>
      </c>
      <c r="I258" s="26" t="str">
        <f t="shared" si="7"/>
        <v>Y</v>
      </c>
    </row>
    <row r="259" spans="1:9" x14ac:dyDescent="0.15">
      <c r="A259" s="26">
        <f t="shared" si="6"/>
        <v>2032</v>
      </c>
      <c r="B259" s="27" t="s">
        <v>2062</v>
      </c>
      <c r="C259" s="26" t="s">
        <v>451</v>
      </c>
      <c r="D259" s="26">
        <v>-37</v>
      </c>
      <c r="E259" s="26">
        <v>0</v>
      </c>
      <c r="F259" s="26">
        <v>10.9</v>
      </c>
      <c r="G259" s="26">
        <v>9.83</v>
      </c>
      <c r="I259" s="26" t="str">
        <f t="shared" si="7"/>
        <v>Y</v>
      </c>
    </row>
    <row r="260" spans="1:9" x14ac:dyDescent="0.15">
      <c r="A260" s="26">
        <f t="shared" si="6"/>
        <v>2033</v>
      </c>
      <c r="B260" s="27" t="s">
        <v>2063</v>
      </c>
      <c r="C260" s="26" t="s">
        <v>452</v>
      </c>
      <c r="D260" s="26">
        <v>-33</v>
      </c>
      <c r="E260" s="26">
        <v>0</v>
      </c>
      <c r="F260" s="26">
        <v>9.73</v>
      </c>
      <c r="G260" s="26">
        <v>9.5</v>
      </c>
      <c r="I260" s="26" t="str">
        <f t="shared" si="7"/>
        <v>Y</v>
      </c>
    </row>
    <row r="261" spans="1:9" x14ac:dyDescent="0.15">
      <c r="A261" s="26">
        <f t="shared" si="6"/>
        <v>2034</v>
      </c>
      <c r="B261" s="27" t="s">
        <v>2064</v>
      </c>
      <c r="C261" s="26" t="s">
        <v>453</v>
      </c>
      <c r="D261" s="26">
        <v>430</v>
      </c>
      <c r="E261" s="26">
        <v>40</v>
      </c>
      <c r="F261" s="26">
        <v>24.65</v>
      </c>
      <c r="G261" s="26">
        <v>23.15</v>
      </c>
      <c r="I261" s="26" t="str">
        <f t="shared" si="7"/>
        <v>Y</v>
      </c>
    </row>
    <row r="262" spans="1:9" x14ac:dyDescent="0.15">
      <c r="A262" s="26">
        <f t="shared" si="6"/>
        <v>2035</v>
      </c>
      <c r="B262" s="27" t="s">
        <v>2065</v>
      </c>
      <c r="C262" s="26" t="s">
        <v>454</v>
      </c>
      <c r="D262" s="26">
        <v>1</v>
      </c>
      <c r="E262" s="26">
        <v>0</v>
      </c>
      <c r="F262" s="26">
        <v>47.3</v>
      </c>
      <c r="G262" s="26">
        <v>46.54</v>
      </c>
      <c r="I262" s="26" t="str">
        <f t="shared" si="7"/>
        <v>Y</v>
      </c>
    </row>
    <row r="263" spans="1:9" x14ac:dyDescent="0.15">
      <c r="A263" s="26">
        <f t="shared" ref="A263:A326" si="8">VALUE(B263)</f>
        <v>2038</v>
      </c>
      <c r="B263" s="27" t="s">
        <v>2066</v>
      </c>
      <c r="C263" s="26" t="s">
        <v>455</v>
      </c>
      <c r="D263" s="26">
        <v>0</v>
      </c>
      <c r="E263" s="26">
        <v>0</v>
      </c>
      <c r="F263" s="26">
        <v>6.61</v>
      </c>
      <c r="G263" s="26">
        <v>6.33</v>
      </c>
      <c r="I263" s="26" t="str">
        <f t="shared" ref="I263:I326" si="9">IF(F263&gt;G263,"Y","-")</f>
        <v>Y</v>
      </c>
    </row>
    <row r="264" spans="1:9" x14ac:dyDescent="0.15">
      <c r="A264" s="26">
        <f t="shared" si="8"/>
        <v>2049</v>
      </c>
      <c r="B264" s="27" t="s">
        <v>2067</v>
      </c>
      <c r="C264" s="26" t="s">
        <v>456</v>
      </c>
      <c r="D264" s="26">
        <v>271</v>
      </c>
      <c r="E264" s="26">
        <v>0</v>
      </c>
      <c r="F264" s="26">
        <v>140</v>
      </c>
      <c r="G264" s="26">
        <v>135.5</v>
      </c>
      <c r="I264" s="26" t="str">
        <f t="shared" si="9"/>
        <v>Y</v>
      </c>
    </row>
    <row r="265" spans="1:9" x14ac:dyDescent="0.15">
      <c r="A265" s="26">
        <f t="shared" si="8"/>
        <v>2059</v>
      </c>
      <c r="B265" s="27" t="s">
        <v>2068</v>
      </c>
      <c r="C265" s="26" t="s">
        <v>457</v>
      </c>
      <c r="D265" s="26">
        <v>-163</v>
      </c>
      <c r="E265" s="26">
        <v>-14</v>
      </c>
      <c r="F265" s="26">
        <v>389.5</v>
      </c>
      <c r="G265" s="26">
        <v>405.79</v>
      </c>
      <c r="I265" s="26" t="str">
        <f t="shared" si="9"/>
        <v>-</v>
      </c>
    </row>
    <row r="266" spans="1:9" x14ac:dyDescent="0.15">
      <c r="A266" s="26">
        <f t="shared" si="8"/>
        <v>2061</v>
      </c>
      <c r="B266" s="27" t="s">
        <v>2069</v>
      </c>
      <c r="C266" s="26" t="s">
        <v>458</v>
      </c>
      <c r="D266" s="26">
        <v>0</v>
      </c>
      <c r="E266" s="26">
        <v>0</v>
      </c>
      <c r="F266" s="26">
        <v>11.8</v>
      </c>
      <c r="G266" s="26">
        <v>11.28</v>
      </c>
      <c r="I266" s="26" t="str">
        <f t="shared" si="9"/>
        <v>Y</v>
      </c>
    </row>
    <row r="267" spans="1:9" x14ac:dyDescent="0.15">
      <c r="A267" s="26">
        <f t="shared" si="8"/>
        <v>2062</v>
      </c>
      <c r="B267" s="27" t="s">
        <v>2070</v>
      </c>
      <c r="C267" s="26" t="s">
        <v>459</v>
      </c>
      <c r="D267" s="26">
        <v>71</v>
      </c>
      <c r="E267" s="26">
        <v>0</v>
      </c>
      <c r="F267" s="26">
        <v>42.85</v>
      </c>
      <c r="G267" s="26">
        <v>42.85</v>
      </c>
      <c r="I267" s="26" t="str">
        <f t="shared" si="9"/>
        <v>-</v>
      </c>
    </row>
    <row r="268" spans="1:9" x14ac:dyDescent="0.15">
      <c r="A268" s="26">
        <f t="shared" si="8"/>
        <v>2063</v>
      </c>
      <c r="B268" s="27" t="s">
        <v>2071</v>
      </c>
      <c r="C268" s="26" t="s">
        <v>460</v>
      </c>
      <c r="D268" s="26">
        <v>-5</v>
      </c>
      <c r="E268" s="26">
        <v>0</v>
      </c>
      <c r="F268" s="26">
        <v>27.5</v>
      </c>
      <c r="G268" s="26">
        <v>27.34</v>
      </c>
      <c r="I268" s="26" t="str">
        <f t="shared" si="9"/>
        <v>Y</v>
      </c>
    </row>
    <row r="269" spans="1:9" x14ac:dyDescent="0.15">
      <c r="A269" s="26">
        <f t="shared" si="8"/>
        <v>2064</v>
      </c>
      <c r="B269" s="27" t="s">
        <v>2072</v>
      </c>
      <c r="C269" s="26" t="s">
        <v>461</v>
      </c>
      <c r="D269" s="26">
        <v>0</v>
      </c>
      <c r="E269" s="26">
        <v>0</v>
      </c>
      <c r="F269" s="26">
        <v>17.8</v>
      </c>
      <c r="G269" s="26">
        <v>17.43</v>
      </c>
      <c r="I269" s="26" t="str">
        <f t="shared" si="9"/>
        <v>Y</v>
      </c>
    </row>
    <row r="270" spans="1:9" x14ac:dyDescent="0.15">
      <c r="A270" s="26">
        <f t="shared" si="8"/>
        <v>2066</v>
      </c>
      <c r="B270" s="27" t="s">
        <v>2073</v>
      </c>
      <c r="C270" s="26" t="s">
        <v>462</v>
      </c>
      <c r="D270" s="26">
        <v>28</v>
      </c>
      <c r="E270" s="26">
        <v>0</v>
      </c>
      <c r="F270" s="26">
        <v>111</v>
      </c>
      <c r="G270" s="26">
        <v>107.83</v>
      </c>
      <c r="I270" s="26" t="str">
        <f t="shared" si="9"/>
        <v>Y</v>
      </c>
    </row>
    <row r="271" spans="1:9" x14ac:dyDescent="0.15">
      <c r="A271" s="26">
        <f t="shared" si="8"/>
        <v>2067</v>
      </c>
      <c r="B271" s="27" t="s">
        <v>2074</v>
      </c>
      <c r="C271" s="26" t="s">
        <v>463</v>
      </c>
      <c r="D271" s="26">
        <v>0</v>
      </c>
      <c r="E271" s="26">
        <v>0</v>
      </c>
      <c r="F271" s="26">
        <v>14.1</v>
      </c>
      <c r="G271" s="26">
        <v>14.23</v>
      </c>
      <c r="I271" s="26" t="str">
        <f t="shared" si="9"/>
        <v>-</v>
      </c>
    </row>
    <row r="272" spans="1:9" x14ac:dyDescent="0.15">
      <c r="A272" s="26">
        <f t="shared" si="8"/>
        <v>2101</v>
      </c>
      <c r="B272" s="27" t="s">
        <v>2075</v>
      </c>
      <c r="C272" s="26" t="s">
        <v>464</v>
      </c>
      <c r="D272" s="26">
        <v>-101</v>
      </c>
      <c r="E272" s="26">
        <v>0</v>
      </c>
      <c r="F272" s="26">
        <v>29.9</v>
      </c>
      <c r="G272" s="26">
        <v>28.53</v>
      </c>
      <c r="I272" s="26" t="str">
        <f t="shared" si="9"/>
        <v>Y</v>
      </c>
    </row>
    <row r="273" spans="1:9" x14ac:dyDescent="0.15">
      <c r="A273" s="26">
        <f t="shared" si="8"/>
        <v>2102</v>
      </c>
      <c r="B273" s="27" t="s">
        <v>2076</v>
      </c>
      <c r="C273" s="26" t="s">
        <v>465</v>
      </c>
      <c r="D273" s="26">
        <v>-21</v>
      </c>
      <c r="E273" s="26">
        <v>-383</v>
      </c>
      <c r="F273" s="26">
        <v>15.75</v>
      </c>
      <c r="G273" s="26">
        <v>15.33</v>
      </c>
      <c r="I273" s="26" t="str">
        <f t="shared" si="9"/>
        <v>Y</v>
      </c>
    </row>
    <row r="274" spans="1:9" x14ac:dyDescent="0.15">
      <c r="A274" s="26">
        <f t="shared" si="8"/>
        <v>2103</v>
      </c>
      <c r="B274" s="27" t="s">
        <v>2077</v>
      </c>
      <c r="C274" s="26" t="s">
        <v>466</v>
      </c>
      <c r="D274" s="26">
        <v>-195</v>
      </c>
      <c r="E274" s="26">
        <v>0</v>
      </c>
      <c r="F274" s="26">
        <v>30.1</v>
      </c>
      <c r="G274" s="26">
        <v>25.7</v>
      </c>
      <c r="I274" s="26" t="str">
        <f t="shared" si="9"/>
        <v>Y</v>
      </c>
    </row>
    <row r="275" spans="1:9" x14ac:dyDescent="0.15">
      <c r="A275" s="26">
        <f t="shared" si="8"/>
        <v>2104</v>
      </c>
      <c r="B275" s="27" t="s">
        <v>2078</v>
      </c>
      <c r="C275" s="26" t="s">
        <v>467</v>
      </c>
      <c r="D275" s="26">
        <v>33</v>
      </c>
      <c r="E275" s="26">
        <v>0</v>
      </c>
      <c r="F275" s="26">
        <v>25.8</v>
      </c>
      <c r="G275" s="26">
        <v>23.98</v>
      </c>
      <c r="I275" s="26" t="str">
        <f t="shared" si="9"/>
        <v>Y</v>
      </c>
    </row>
    <row r="276" spans="1:9" x14ac:dyDescent="0.15">
      <c r="A276" s="26">
        <f t="shared" si="8"/>
        <v>2105</v>
      </c>
      <c r="B276" s="27" t="s">
        <v>2079</v>
      </c>
      <c r="C276" s="26" t="s">
        <v>468</v>
      </c>
      <c r="D276" s="26">
        <v>1370</v>
      </c>
      <c r="E276" s="26">
        <v>149</v>
      </c>
      <c r="F276" s="26">
        <v>58.8</v>
      </c>
      <c r="G276" s="26">
        <v>57.08</v>
      </c>
      <c r="I276" s="26" t="str">
        <f t="shared" si="9"/>
        <v>Y</v>
      </c>
    </row>
    <row r="277" spans="1:9" x14ac:dyDescent="0.15">
      <c r="A277" s="26">
        <f t="shared" si="8"/>
        <v>2106</v>
      </c>
      <c r="B277" s="27" t="s">
        <v>2080</v>
      </c>
      <c r="C277" s="26" t="s">
        <v>469</v>
      </c>
      <c r="D277" s="26">
        <v>200</v>
      </c>
      <c r="E277" s="26">
        <v>0</v>
      </c>
      <c r="F277" s="26">
        <v>49.75</v>
      </c>
      <c r="G277" s="26">
        <v>48.59</v>
      </c>
      <c r="I277" s="26" t="str">
        <f t="shared" si="9"/>
        <v>Y</v>
      </c>
    </row>
    <row r="278" spans="1:9" x14ac:dyDescent="0.15">
      <c r="A278" s="26">
        <f t="shared" si="8"/>
        <v>2107</v>
      </c>
      <c r="B278" s="27" t="s">
        <v>2081</v>
      </c>
      <c r="C278" s="26" t="s">
        <v>470</v>
      </c>
      <c r="D278" s="26">
        <v>-523</v>
      </c>
      <c r="E278" s="26">
        <v>0</v>
      </c>
      <c r="F278" s="26">
        <v>18.5</v>
      </c>
      <c r="G278" s="26">
        <v>17.34</v>
      </c>
      <c r="I278" s="26" t="str">
        <f t="shared" si="9"/>
        <v>Y</v>
      </c>
    </row>
    <row r="279" spans="1:9" x14ac:dyDescent="0.15">
      <c r="A279" s="26">
        <f t="shared" si="8"/>
        <v>2108</v>
      </c>
      <c r="B279" s="27" t="s">
        <v>2082</v>
      </c>
      <c r="C279" s="26" t="s">
        <v>471</v>
      </c>
      <c r="D279" s="26">
        <v>-189</v>
      </c>
      <c r="E279" s="26">
        <v>0</v>
      </c>
      <c r="F279" s="26">
        <v>25.9</v>
      </c>
      <c r="G279" s="26">
        <v>24.43</v>
      </c>
      <c r="I279" s="26" t="str">
        <f t="shared" si="9"/>
        <v>Y</v>
      </c>
    </row>
    <row r="280" spans="1:9" x14ac:dyDescent="0.15">
      <c r="A280" s="26">
        <f t="shared" si="8"/>
        <v>2109</v>
      </c>
      <c r="B280" s="27" t="s">
        <v>2083</v>
      </c>
      <c r="C280" s="26" t="s">
        <v>472</v>
      </c>
      <c r="D280" s="26">
        <v>-53</v>
      </c>
      <c r="E280" s="26">
        <v>0</v>
      </c>
      <c r="F280" s="26">
        <v>12.75</v>
      </c>
      <c r="G280" s="26">
        <v>11.46</v>
      </c>
      <c r="I280" s="26" t="str">
        <f t="shared" si="9"/>
        <v>Y</v>
      </c>
    </row>
    <row r="281" spans="1:9" x14ac:dyDescent="0.15">
      <c r="A281" s="26">
        <f t="shared" si="8"/>
        <v>2114</v>
      </c>
      <c r="B281" s="27" t="s">
        <v>2084</v>
      </c>
      <c r="C281" s="26" t="s">
        <v>473</v>
      </c>
      <c r="D281" s="26">
        <v>-2</v>
      </c>
      <c r="E281" s="26">
        <v>0</v>
      </c>
      <c r="F281" s="26">
        <v>81.3</v>
      </c>
      <c r="G281" s="26">
        <v>80.290000000000006</v>
      </c>
      <c r="I281" s="26" t="str">
        <f t="shared" si="9"/>
        <v>Y</v>
      </c>
    </row>
    <row r="282" spans="1:9" x14ac:dyDescent="0.15">
      <c r="A282" s="26">
        <f t="shared" si="8"/>
        <v>2115</v>
      </c>
      <c r="B282" s="27" t="s">
        <v>2085</v>
      </c>
      <c r="C282" s="26" t="s">
        <v>474</v>
      </c>
      <c r="D282" s="26">
        <v>-2</v>
      </c>
      <c r="E282" s="26">
        <v>0</v>
      </c>
      <c r="F282" s="26">
        <v>42.5</v>
      </c>
      <c r="G282" s="26">
        <v>42.63</v>
      </c>
      <c r="I282" s="26" t="str">
        <f t="shared" si="9"/>
        <v>-</v>
      </c>
    </row>
    <row r="283" spans="1:9" x14ac:dyDescent="0.15">
      <c r="A283" s="26">
        <f t="shared" si="8"/>
        <v>2201</v>
      </c>
      <c r="B283" s="27" t="s">
        <v>2086</v>
      </c>
      <c r="C283" s="26" t="s">
        <v>475</v>
      </c>
      <c r="D283" s="26">
        <v>748</v>
      </c>
      <c r="E283" s="26">
        <v>-774</v>
      </c>
      <c r="F283" s="26">
        <v>31</v>
      </c>
      <c r="G283" s="26">
        <v>29.78</v>
      </c>
      <c r="I283" s="26" t="str">
        <f t="shared" si="9"/>
        <v>Y</v>
      </c>
    </row>
    <row r="284" spans="1:9" x14ac:dyDescent="0.15">
      <c r="A284" s="26">
        <f t="shared" si="8"/>
        <v>2204</v>
      </c>
      <c r="B284" s="27" t="s">
        <v>2087</v>
      </c>
      <c r="C284" s="26" t="s">
        <v>476</v>
      </c>
      <c r="D284" s="26">
        <v>-507</v>
      </c>
      <c r="E284" s="26">
        <v>-29</v>
      </c>
      <c r="F284" s="26">
        <v>21.8</v>
      </c>
      <c r="G284" s="26">
        <v>21.56</v>
      </c>
      <c r="I284" s="26" t="str">
        <f t="shared" si="9"/>
        <v>Y</v>
      </c>
    </row>
    <row r="285" spans="1:9" x14ac:dyDescent="0.15">
      <c r="A285" s="26">
        <f t="shared" si="8"/>
        <v>2206</v>
      </c>
      <c r="B285" s="27" t="s">
        <v>2088</v>
      </c>
      <c r="C285" s="26" t="s">
        <v>477</v>
      </c>
      <c r="D285" s="26">
        <v>99</v>
      </c>
      <c r="E285" s="26">
        <v>0</v>
      </c>
      <c r="F285" s="26">
        <v>22.05</v>
      </c>
      <c r="G285" s="26">
        <v>21.55</v>
      </c>
      <c r="I285" s="26" t="str">
        <f t="shared" si="9"/>
        <v>Y</v>
      </c>
    </row>
    <row r="286" spans="1:9" x14ac:dyDescent="0.15">
      <c r="A286" s="26">
        <f t="shared" si="8"/>
        <v>2207</v>
      </c>
      <c r="B286" s="27" t="s">
        <v>2089</v>
      </c>
      <c r="C286" s="26" t="s">
        <v>478</v>
      </c>
      <c r="D286" s="26">
        <v>-76</v>
      </c>
      <c r="E286" s="26">
        <v>0</v>
      </c>
      <c r="F286" s="26">
        <v>348</v>
      </c>
      <c r="G286" s="26">
        <v>342.63</v>
      </c>
      <c r="I286" s="26" t="str">
        <f t="shared" si="9"/>
        <v>Y</v>
      </c>
    </row>
    <row r="287" spans="1:9" x14ac:dyDescent="0.15">
      <c r="A287" s="26">
        <f t="shared" si="8"/>
        <v>2208</v>
      </c>
      <c r="B287" s="27" t="s">
        <v>2090</v>
      </c>
      <c r="C287" s="26" t="s">
        <v>479</v>
      </c>
      <c r="D287" s="26">
        <v>-60</v>
      </c>
      <c r="E287" s="26">
        <v>0</v>
      </c>
      <c r="F287" s="26">
        <v>15.55</v>
      </c>
      <c r="G287" s="26">
        <v>15.25</v>
      </c>
      <c r="I287" s="26" t="str">
        <f t="shared" si="9"/>
        <v>Y</v>
      </c>
    </row>
    <row r="288" spans="1:9" x14ac:dyDescent="0.15">
      <c r="A288" s="26">
        <f t="shared" si="8"/>
        <v>2221</v>
      </c>
      <c r="B288" s="27" t="s">
        <v>2091</v>
      </c>
      <c r="C288" s="26" t="s">
        <v>480</v>
      </c>
      <c r="D288" s="26">
        <v>-2</v>
      </c>
      <c r="E288" s="26">
        <v>0</v>
      </c>
      <c r="F288" s="26">
        <v>18.649999999999999</v>
      </c>
      <c r="G288" s="26">
        <v>18.05</v>
      </c>
      <c r="I288" s="26" t="str">
        <f t="shared" si="9"/>
        <v>Y</v>
      </c>
    </row>
    <row r="289" spans="1:9" x14ac:dyDescent="0.15">
      <c r="A289" s="26">
        <f t="shared" si="8"/>
        <v>2227</v>
      </c>
      <c r="B289" s="27" t="s">
        <v>2092</v>
      </c>
      <c r="C289" s="26" t="s">
        <v>481</v>
      </c>
      <c r="D289" s="26">
        <v>-28</v>
      </c>
      <c r="E289" s="26">
        <v>-34</v>
      </c>
      <c r="F289" s="26">
        <v>243</v>
      </c>
      <c r="G289" s="26">
        <v>234.21</v>
      </c>
      <c r="I289" s="26" t="str">
        <f t="shared" si="9"/>
        <v>Y</v>
      </c>
    </row>
    <row r="290" spans="1:9" x14ac:dyDescent="0.15">
      <c r="A290" s="26">
        <f t="shared" si="8"/>
        <v>2228</v>
      </c>
      <c r="B290" s="27" t="s">
        <v>2093</v>
      </c>
      <c r="C290" s="26" t="s">
        <v>482</v>
      </c>
      <c r="D290" s="26">
        <v>-37</v>
      </c>
      <c r="E290" s="26">
        <v>-81</v>
      </c>
      <c r="F290" s="26">
        <v>180.5</v>
      </c>
      <c r="G290" s="26">
        <v>182.58</v>
      </c>
      <c r="I290" s="26" t="str">
        <f t="shared" si="9"/>
        <v>-</v>
      </c>
    </row>
    <row r="291" spans="1:9" x14ac:dyDescent="0.15">
      <c r="A291" s="26">
        <f t="shared" si="8"/>
        <v>2230</v>
      </c>
      <c r="B291" s="27" t="s">
        <v>2094</v>
      </c>
      <c r="C291" s="26" t="s">
        <v>483</v>
      </c>
      <c r="D291" s="26">
        <v>1</v>
      </c>
      <c r="E291" s="26">
        <v>0</v>
      </c>
      <c r="F291" s="26">
        <v>14.6</v>
      </c>
      <c r="G291" s="26">
        <v>14.37</v>
      </c>
      <c r="I291" s="26" t="str">
        <f t="shared" si="9"/>
        <v>Y</v>
      </c>
    </row>
    <row r="292" spans="1:9" x14ac:dyDescent="0.15">
      <c r="A292" s="26">
        <f t="shared" si="8"/>
        <v>2231</v>
      </c>
      <c r="B292" s="27" t="s">
        <v>2095</v>
      </c>
      <c r="C292" s="26" t="s">
        <v>484</v>
      </c>
      <c r="D292" s="26">
        <v>-68</v>
      </c>
      <c r="E292" s="26">
        <v>-48</v>
      </c>
      <c r="F292" s="26">
        <v>364</v>
      </c>
      <c r="G292" s="26">
        <v>378.58</v>
      </c>
      <c r="I292" s="26" t="str">
        <f t="shared" si="9"/>
        <v>-</v>
      </c>
    </row>
    <row r="293" spans="1:9" x14ac:dyDescent="0.15">
      <c r="A293" s="26">
        <f t="shared" si="8"/>
        <v>2233</v>
      </c>
      <c r="B293" s="27" t="s">
        <v>2096</v>
      </c>
      <c r="C293" s="26" t="s">
        <v>485</v>
      </c>
      <c r="D293" s="26">
        <v>-61</v>
      </c>
      <c r="E293" s="26">
        <v>-105</v>
      </c>
      <c r="F293" s="26">
        <v>77.599999999999994</v>
      </c>
      <c r="G293" s="26">
        <v>75.37</v>
      </c>
      <c r="I293" s="26" t="str">
        <f t="shared" si="9"/>
        <v>Y</v>
      </c>
    </row>
    <row r="294" spans="1:9" x14ac:dyDescent="0.15">
      <c r="A294" s="26">
        <f t="shared" si="8"/>
        <v>2235</v>
      </c>
      <c r="B294" s="27" t="s">
        <v>2097</v>
      </c>
      <c r="C294" s="26" t="s">
        <v>486</v>
      </c>
      <c r="D294" s="26">
        <v>1</v>
      </c>
      <c r="E294" s="26">
        <v>0</v>
      </c>
      <c r="F294" s="26">
        <v>125.5</v>
      </c>
      <c r="G294" s="26">
        <v>121.88</v>
      </c>
      <c r="I294" s="26" t="str">
        <f t="shared" si="9"/>
        <v>Y</v>
      </c>
    </row>
    <row r="295" spans="1:9" x14ac:dyDescent="0.15">
      <c r="A295" s="26">
        <f t="shared" si="8"/>
        <v>2236</v>
      </c>
      <c r="B295" s="27" t="s">
        <v>2098</v>
      </c>
      <c r="C295" s="26" t="s">
        <v>487</v>
      </c>
      <c r="D295" s="26">
        <v>-22</v>
      </c>
      <c r="E295" s="26">
        <v>0</v>
      </c>
      <c r="F295" s="26">
        <v>52.4</v>
      </c>
      <c r="G295" s="26">
        <v>47.9</v>
      </c>
      <c r="I295" s="26" t="str">
        <f t="shared" si="9"/>
        <v>Y</v>
      </c>
    </row>
    <row r="296" spans="1:9" x14ac:dyDescent="0.15">
      <c r="A296" s="26">
        <f t="shared" si="8"/>
        <v>2239</v>
      </c>
      <c r="B296" s="27" t="s">
        <v>2099</v>
      </c>
      <c r="C296" s="26" t="s">
        <v>488</v>
      </c>
      <c r="D296" s="26">
        <v>-15</v>
      </c>
      <c r="E296" s="26">
        <v>0</v>
      </c>
      <c r="F296" s="26">
        <v>169</v>
      </c>
      <c r="G296" s="26">
        <v>168.04</v>
      </c>
      <c r="I296" s="26" t="str">
        <f t="shared" si="9"/>
        <v>Y</v>
      </c>
    </row>
    <row r="297" spans="1:9" x14ac:dyDescent="0.15">
      <c r="A297" s="26">
        <f t="shared" si="8"/>
        <v>2301</v>
      </c>
      <c r="B297" s="27" t="s">
        <v>2100</v>
      </c>
      <c r="C297" s="26" t="s">
        <v>489</v>
      </c>
      <c r="D297" s="26">
        <v>974</v>
      </c>
      <c r="E297" s="26">
        <v>0</v>
      </c>
      <c r="F297" s="26">
        <v>36.549999999999997</v>
      </c>
      <c r="G297" s="26">
        <v>37.369999999999997</v>
      </c>
      <c r="I297" s="26" t="str">
        <f t="shared" si="9"/>
        <v>-</v>
      </c>
    </row>
    <row r="298" spans="1:9" x14ac:dyDescent="0.15">
      <c r="A298" s="26">
        <f t="shared" si="8"/>
        <v>2302</v>
      </c>
      <c r="B298" s="27" t="s">
        <v>2101</v>
      </c>
      <c r="C298" s="26" t="s">
        <v>490</v>
      </c>
      <c r="D298" s="26">
        <v>-44</v>
      </c>
      <c r="E298" s="26">
        <v>0</v>
      </c>
      <c r="F298" s="26">
        <v>6.18</v>
      </c>
      <c r="G298" s="26">
        <v>5.85</v>
      </c>
      <c r="I298" s="26" t="str">
        <f t="shared" si="9"/>
        <v>Y</v>
      </c>
    </row>
    <row r="299" spans="1:9" x14ac:dyDescent="0.15">
      <c r="A299" s="26">
        <f t="shared" si="8"/>
        <v>2303</v>
      </c>
      <c r="B299" s="27" t="s">
        <v>2102</v>
      </c>
      <c r="C299" s="26" t="s">
        <v>491</v>
      </c>
      <c r="D299" s="26">
        <v>6807</v>
      </c>
      <c r="E299" s="26">
        <v>0</v>
      </c>
      <c r="F299" s="26">
        <v>13.4</v>
      </c>
      <c r="G299" s="26">
        <v>13.32</v>
      </c>
      <c r="I299" s="26" t="str">
        <f t="shared" si="9"/>
        <v>Y</v>
      </c>
    </row>
    <row r="300" spans="1:9" x14ac:dyDescent="0.15">
      <c r="A300" s="26">
        <f t="shared" si="8"/>
        <v>2305</v>
      </c>
      <c r="B300" s="27" t="s">
        <v>2103</v>
      </c>
      <c r="C300" s="26" t="s">
        <v>492</v>
      </c>
      <c r="D300" s="26">
        <v>-99</v>
      </c>
      <c r="E300" s="26">
        <v>0</v>
      </c>
      <c r="F300" s="26">
        <v>6.21</v>
      </c>
      <c r="G300" s="26">
        <v>5.71</v>
      </c>
      <c r="I300" s="26" t="str">
        <f t="shared" si="9"/>
        <v>Y</v>
      </c>
    </row>
    <row r="301" spans="1:9" x14ac:dyDescent="0.15">
      <c r="A301" s="26">
        <f t="shared" si="8"/>
        <v>2308</v>
      </c>
      <c r="B301" s="27" t="s">
        <v>2104</v>
      </c>
      <c r="C301" s="26" t="s">
        <v>493</v>
      </c>
      <c r="D301" s="26">
        <v>-1</v>
      </c>
      <c r="E301" s="26">
        <v>-97</v>
      </c>
      <c r="F301" s="26">
        <v>140.5</v>
      </c>
      <c r="G301" s="26">
        <v>137.38</v>
      </c>
      <c r="I301" s="26" t="str">
        <f t="shared" si="9"/>
        <v>Y</v>
      </c>
    </row>
    <row r="302" spans="1:9" x14ac:dyDescent="0.15">
      <c r="A302" s="26">
        <f t="shared" si="8"/>
        <v>2311</v>
      </c>
      <c r="B302" s="27" t="s">
        <v>2105</v>
      </c>
      <c r="C302" s="26" t="s">
        <v>494</v>
      </c>
      <c r="D302" s="26">
        <v>1651</v>
      </c>
      <c r="E302" s="26">
        <v>-1044</v>
      </c>
      <c r="F302" s="26">
        <v>37.799999999999997</v>
      </c>
      <c r="G302" s="26">
        <v>37.549999999999997</v>
      </c>
      <c r="I302" s="26" t="str">
        <f t="shared" si="9"/>
        <v>Y</v>
      </c>
    </row>
    <row r="303" spans="1:9" x14ac:dyDescent="0.15">
      <c r="A303" s="26">
        <f t="shared" si="8"/>
        <v>2312</v>
      </c>
      <c r="B303" s="27" t="s">
        <v>2106</v>
      </c>
      <c r="C303" s="26" t="s">
        <v>495</v>
      </c>
      <c r="D303" s="26">
        <v>100</v>
      </c>
      <c r="E303" s="26">
        <v>0</v>
      </c>
      <c r="F303" s="26">
        <v>11.35</v>
      </c>
      <c r="G303" s="26">
        <v>10.72</v>
      </c>
      <c r="I303" s="26" t="str">
        <f t="shared" si="9"/>
        <v>Y</v>
      </c>
    </row>
    <row r="304" spans="1:9" x14ac:dyDescent="0.15">
      <c r="A304" s="26">
        <f t="shared" si="8"/>
        <v>2313</v>
      </c>
      <c r="B304" s="27" t="s">
        <v>2107</v>
      </c>
      <c r="C304" s="26" t="s">
        <v>496</v>
      </c>
      <c r="D304" s="26">
        <v>549</v>
      </c>
      <c r="E304" s="26">
        <v>1738</v>
      </c>
      <c r="F304" s="26">
        <v>21.1</v>
      </c>
      <c r="G304" s="26">
        <v>20.010000000000002</v>
      </c>
      <c r="I304" s="26" t="str">
        <f t="shared" si="9"/>
        <v>Y</v>
      </c>
    </row>
    <row r="305" spans="1:9" x14ac:dyDescent="0.15">
      <c r="A305" s="26">
        <f t="shared" si="8"/>
        <v>2314</v>
      </c>
      <c r="B305" s="27" t="s">
        <v>2108</v>
      </c>
      <c r="C305" s="26" t="s">
        <v>497</v>
      </c>
      <c r="D305" s="26">
        <v>82</v>
      </c>
      <c r="E305" s="26">
        <v>0</v>
      </c>
      <c r="F305" s="26">
        <v>12.1</v>
      </c>
      <c r="G305" s="26">
        <v>11.72</v>
      </c>
      <c r="I305" s="26" t="str">
        <f t="shared" si="9"/>
        <v>Y</v>
      </c>
    </row>
    <row r="306" spans="1:9" x14ac:dyDescent="0.15">
      <c r="A306" s="26">
        <f t="shared" si="8"/>
        <v>2316</v>
      </c>
      <c r="B306" s="27" t="s">
        <v>2109</v>
      </c>
      <c r="C306" s="26" t="s">
        <v>498</v>
      </c>
      <c r="D306" s="26">
        <v>-35</v>
      </c>
      <c r="E306" s="26">
        <v>0</v>
      </c>
      <c r="F306" s="26">
        <v>29</v>
      </c>
      <c r="G306" s="26">
        <v>28.72</v>
      </c>
      <c r="I306" s="26" t="str">
        <f t="shared" si="9"/>
        <v>Y</v>
      </c>
    </row>
    <row r="307" spans="1:9" x14ac:dyDescent="0.15">
      <c r="A307" s="26">
        <f t="shared" si="8"/>
        <v>2317</v>
      </c>
      <c r="B307" s="27" t="s">
        <v>2110</v>
      </c>
      <c r="C307" s="26" t="s">
        <v>499</v>
      </c>
      <c r="D307" s="26">
        <v>1507</v>
      </c>
      <c r="E307" s="26">
        <v>-351</v>
      </c>
      <c r="F307" s="26">
        <v>81.599999999999994</v>
      </c>
      <c r="G307" s="26">
        <v>78.61</v>
      </c>
      <c r="I307" s="26" t="str">
        <f t="shared" si="9"/>
        <v>Y</v>
      </c>
    </row>
    <row r="308" spans="1:9" x14ac:dyDescent="0.15">
      <c r="A308" s="26">
        <f t="shared" si="8"/>
        <v>2321</v>
      </c>
      <c r="B308" s="27" t="s">
        <v>2111</v>
      </c>
      <c r="C308" s="26" t="s">
        <v>500</v>
      </c>
      <c r="D308" s="26">
        <v>0</v>
      </c>
      <c r="E308" s="26">
        <v>0</v>
      </c>
      <c r="F308" s="26">
        <v>1.8</v>
      </c>
      <c r="G308" s="26">
        <v>1.86</v>
      </c>
      <c r="I308" s="26" t="str">
        <f t="shared" si="9"/>
        <v>-</v>
      </c>
    </row>
    <row r="309" spans="1:9" x14ac:dyDescent="0.15">
      <c r="A309" s="26">
        <f t="shared" si="8"/>
        <v>2323</v>
      </c>
      <c r="B309" s="27" t="s">
        <v>2112</v>
      </c>
      <c r="C309" s="26" t="s">
        <v>501</v>
      </c>
      <c r="D309" s="26">
        <v>-387</v>
      </c>
      <c r="E309" s="26">
        <v>0</v>
      </c>
      <c r="F309" s="26">
        <v>3.65</v>
      </c>
      <c r="G309" s="26">
        <v>3.58</v>
      </c>
      <c r="I309" s="26" t="str">
        <f t="shared" si="9"/>
        <v>Y</v>
      </c>
    </row>
    <row r="310" spans="1:9" x14ac:dyDescent="0.15">
      <c r="A310" s="26">
        <f t="shared" si="8"/>
        <v>2324</v>
      </c>
      <c r="B310" s="27" t="s">
        <v>2113</v>
      </c>
      <c r="C310" s="26" t="s">
        <v>502</v>
      </c>
      <c r="D310" s="26">
        <v>-1945</v>
      </c>
      <c r="E310" s="26">
        <v>0</v>
      </c>
      <c r="F310" s="26">
        <v>20.05</v>
      </c>
      <c r="G310" s="26">
        <v>19.63</v>
      </c>
      <c r="I310" s="26" t="str">
        <f t="shared" si="9"/>
        <v>Y</v>
      </c>
    </row>
    <row r="311" spans="1:9" x14ac:dyDescent="0.15">
      <c r="A311" s="26">
        <f t="shared" si="8"/>
        <v>2325</v>
      </c>
      <c r="B311" s="27" t="s">
        <v>2114</v>
      </c>
      <c r="C311" s="26" t="s">
        <v>503</v>
      </c>
      <c r="D311" s="26">
        <v>1576</v>
      </c>
      <c r="E311" s="26">
        <v>0</v>
      </c>
      <c r="F311" s="26">
        <v>49.25</v>
      </c>
      <c r="G311" s="26">
        <v>50.95</v>
      </c>
      <c r="I311" s="26" t="str">
        <f t="shared" si="9"/>
        <v>-</v>
      </c>
    </row>
    <row r="312" spans="1:9" x14ac:dyDescent="0.15">
      <c r="A312" s="26">
        <f t="shared" si="8"/>
        <v>2327</v>
      </c>
      <c r="B312" s="27" t="s">
        <v>2115</v>
      </c>
      <c r="C312" s="26" t="s">
        <v>504</v>
      </c>
      <c r="D312" s="26">
        <v>171</v>
      </c>
      <c r="E312" s="26">
        <v>0</v>
      </c>
      <c r="F312" s="26">
        <v>55.2</v>
      </c>
      <c r="G312" s="26">
        <v>54.55</v>
      </c>
      <c r="I312" s="26" t="str">
        <f t="shared" si="9"/>
        <v>Y</v>
      </c>
    </row>
    <row r="313" spans="1:9" x14ac:dyDescent="0.15">
      <c r="A313" s="26">
        <f t="shared" si="8"/>
        <v>2328</v>
      </c>
      <c r="B313" s="27" t="s">
        <v>2116</v>
      </c>
      <c r="C313" s="26" t="s">
        <v>505</v>
      </c>
      <c r="D313" s="26">
        <v>256</v>
      </c>
      <c r="E313" s="26">
        <v>0</v>
      </c>
      <c r="F313" s="26">
        <v>13.15</v>
      </c>
      <c r="G313" s="26">
        <v>12.66</v>
      </c>
      <c r="I313" s="26" t="str">
        <f t="shared" si="9"/>
        <v>Y</v>
      </c>
    </row>
    <row r="314" spans="1:9" x14ac:dyDescent="0.15">
      <c r="A314" s="26">
        <f t="shared" si="8"/>
        <v>2329</v>
      </c>
      <c r="B314" s="27" t="s">
        <v>2117</v>
      </c>
      <c r="C314" s="26" t="s">
        <v>506</v>
      </c>
      <c r="D314" s="26">
        <v>-268</v>
      </c>
      <c r="E314" s="26">
        <v>0</v>
      </c>
      <c r="F314" s="26">
        <v>12.9</v>
      </c>
      <c r="G314" s="26">
        <v>11.94</v>
      </c>
      <c r="I314" s="26" t="str">
        <f t="shared" si="9"/>
        <v>Y</v>
      </c>
    </row>
    <row r="315" spans="1:9" x14ac:dyDescent="0.15">
      <c r="A315" s="26">
        <f t="shared" si="8"/>
        <v>2330</v>
      </c>
      <c r="B315" s="27" t="s">
        <v>2118</v>
      </c>
      <c r="C315" s="26" t="s">
        <v>507</v>
      </c>
      <c r="D315" s="26">
        <v>-23</v>
      </c>
      <c r="E315" s="26">
        <v>94</v>
      </c>
      <c r="F315" s="26">
        <v>152</v>
      </c>
      <c r="G315" s="26">
        <v>151.13</v>
      </c>
      <c r="I315" s="26" t="str">
        <f t="shared" si="9"/>
        <v>Y</v>
      </c>
    </row>
    <row r="316" spans="1:9" x14ac:dyDescent="0.15">
      <c r="A316" s="26">
        <f t="shared" si="8"/>
        <v>2331</v>
      </c>
      <c r="B316" s="27" t="s">
        <v>2119</v>
      </c>
      <c r="C316" s="26" t="s">
        <v>508</v>
      </c>
      <c r="D316" s="26">
        <v>-102</v>
      </c>
      <c r="E316" s="26">
        <v>0</v>
      </c>
      <c r="F316" s="26">
        <v>21.85</v>
      </c>
      <c r="G316" s="26">
        <v>21.58</v>
      </c>
      <c r="I316" s="26" t="str">
        <f t="shared" si="9"/>
        <v>Y</v>
      </c>
    </row>
    <row r="317" spans="1:9" x14ac:dyDescent="0.15">
      <c r="A317" s="26">
        <f t="shared" si="8"/>
        <v>2332</v>
      </c>
      <c r="B317" s="27" t="s">
        <v>2120</v>
      </c>
      <c r="C317" s="26" t="s">
        <v>509</v>
      </c>
      <c r="D317" s="26">
        <v>187</v>
      </c>
      <c r="E317" s="26">
        <v>0</v>
      </c>
      <c r="F317" s="26">
        <v>11.3</v>
      </c>
      <c r="G317" s="26">
        <v>10.87</v>
      </c>
      <c r="I317" s="26" t="str">
        <f t="shared" si="9"/>
        <v>Y</v>
      </c>
    </row>
    <row r="318" spans="1:9" x14ac:dyDescent="0.15">
      <c r="A318" s="26">
        <f t="shared" si="8"/>
        <v>2337</v>
      </c>
      <c r="B318" s="27" t="s">
        <v>2121</v>
      </c>
      <c r="C318" s="26" t="s">
        <v>510</v>
      </c>
      <c r="D318" s="26">
        <v>3957</v>
      </c>
      <c r="E318" s="26">
        <v>0</v>
      </c>
      <c r="F318" s="26">
        <v>4.4000000000000004</v>
      </c>
      <c r="G318" s="26">
        <v>3.91</v>
      </c>
      <c r="I318" s="26" t="str">
        <f t="shared" si="9"/>
        <v>Y</v>
      </c>
    </row>
    <row r="319" spans="1:9" x14ac:dyDescent="0.15">
      <c r="A319" s="26">
        <f t="shared" si="8"/>
        <v>2338</v>
      </c>
      <c r="B319" s="27" t="s">
        <v>2122</v>
      </c>
      <c r="C319" s="26" t="s">
        <v>511</v>
      </c>
      <c r="D319" s="26">
        <v>35</v>
      </c>
      <c r="E319" s="26">
        <v>0</v>
      </c>
      <c r="F319" s="26">
        <v>9.75</v>
      </c>
      <c r="G319" s="26">
        <v>9.6199999999999992</v>
      </c>
      <c r="I319" s="26" t="str">
        <f t="shared" si="9"/>
        <v>Y</v>
      </c>
    </row>
    <row r="320" spans="1:9" x14ac:dyDescent="0.15">
      <c r="A320" s="26">
        <f t="shared" si="8"/>
        <v>2340</v>
      </c>
      <c r="B320" s="27" t="s">
        <v>2123</v>
      </c>
      <c r="C320" s="26" t="s">
        <v>512</v>
      </c>
      <c r="D320" s="26">
        <v>-136</v>
      </c>
      <c r="E320" s="26">
        <v>0</v>
      </c>
      <c r="F320" s="26">
        <v>10.6</v>
      </c>
      <c r="G320" s="26">
        <v>10.26</v>
      </c>
      <c r="I320" s="26" t="str">
        <f t="shared" si="9"/>
        <v>Y</v>
      </c>
    </row>
    <row r="321" spans="1:9" x14ac:dyDescent="0.15">
      <c r="A321" s="26">
        <f t="shared" si="8"/>
        <v>2342</v>
      </c>
      <c r="B321" s="27" t="s">
        <v>2124</v>
      </c>
      <c r="C321" s="26" t="s">
        <v>513</v>
      </c>
      <c r="D321" s="26">
        <v>-4</v>
      </c>
      <c r="E321" s="26">
        <v>0</v>
      </c>
      <c r="F321" s="26">
        <v>2.92</v>
      </c>
      <c r="G321" s="26">
        <v>2.95</v>
      </c>
      <c r="I321" s="26" t="str">
        <f t="shared" si="9"/>
        <v>-</v>
      </c>
    </row>
    <row r="322" spans="1:9" x14ac:dyDescent="0.15">
      <c r="A322" s="26">
        <f t="shared" si="8"/>
        <v>2344</v>
      </c>
      <c r="B322" s="27" t="s">
        <v>2125</v>
      </c>
      <c r="C322" s="26" t="s">
        <v>514</v>
      </c>
      <c r="D322" s="26">
        <v>5187</v>
      </c>
      <c r="E322" s="26">
        <v>0</v>
      </c>
      <c r="F322" s="26">
        <v>9.42</v>
      </c>
      <c r="G322" s="26">
        <v>9.5299999999999994</v>
      </c>
      <c r="I322" s="26" t="str">
        <f t="shared" si="9"/>
        <v>-</v>
      </c>
    </row>
    <row r="323" spans="1:9" x14ac:dyDescent="0.15">
      <c r="A323" s="26">
        <f t="shared" si="8"/>
        <v>2345</v>
      </c>
      <c r="B323" s="27" t="s">
        <v>2126</v>
      </c>
      <c r="C323" s="26" t="s">
        <v>515</v>
      </c>
      <c r="D323" s="26">
        <v>-795</v>
      </c>
      <c r="E323" s="26">
        <v>3943</v>
      </c>
      <c r="F323" s="26">
        <v>35.6</v>
      </c>
      <c r="G323" s="26">
        <v>33.369999999999997</v>
      </c>
      <c r="I323" s="26" t="str">
        <f t="shared" si="9"/>
        <v>Y</v>
      </c>
    </row>
    <row r="324" spans="1:9" x14ac:dyDescent="0.15">
      <c r="A324" s="26">
        <f t="shared" si="8"/>
        <v>2347</v>
      </c>
      <c r="B324" s="27" t="s">
        <v>2127</v>
      </c>
      <c r="C324" s="26" t="s">
        <v>516</v>
      </c>
      <c r="D324" s="26">
        <v>1107</v>
      </c>
      <c r="E324" s="26">
        <v>0</v>
      </c>
      <c r="F324" s="26">
        <v>33.299999999999997</v>
      </c>
      <c r="G324" s="26">
        <v>33.08</v>
      </c>
      <c r="I324" s="26" t="str">
        <f t="shared" si="9"/>
        <v>Y</v>
      </c>
    </row>
    <row r="325" spans="1:9" x14ac:dyDescent="0.15">
      <c r="A325" s="26">
        <f t="shared" si="8"/>
        <v>2348</v>
      </c>
      <c r="B325" s="27" t="s">
        <v>2128</v>
      </c>
      <c r="C325" s="26" t="s">
        <v>517</v>
      </c>
      <c r="D325" s="26">
        <v>0</v>
      </c>
      <c r="E325" s="26">
        <v>0</v>
      </c>
      <c r="F325" s="26">
        <v>26.75</v>
      </c>
      <c r="G325" s="26">
        <v>26.75</v>
      </c>
      <c r="I325" s="26" t="str">
        <f t="shared" si="9"/>
        <v>-</v>
      </c>
    </row>
    <row r="326" spans="1:9" x14ac:dyDescent="0.15">
      <c r="A326" s="26">
        <f t="shared" si="8"/>
        <v>2349</v>
      </c>
      <c r="B326" s="27" t="s">
        <v>2129</v>
      </c>
      <c r="C326" s="26" t="s">
        <v>518</v>
      </c>
      <c r="D326" s="26">
        <v>363</v>
      </c>
      <c r="E326" s="26">
        <v>0</v>
      </c>
      <c r="F326" s="26">
        <v>2.85</v>
      </c>
      <c r="G326" s="26">
        <v>2.76</v>
      </c>
      <c r="I326" s="26" t="str">
        <f t="shared" si="9"/>
        <v>Y</v>
      </c>
    </row>
    <row r="327" spans="1:9" x14ac:dyDescent="0.15">
      <c r="A327" s="26">
        <f t="shared" ref="A327:A390" si="10">VALUE(B327)</f>
        <v>2351</v>
      </c>
      <c r="B327" s="27" t="s">
        <v>2130</v>
      </c>
      <c r="C327" s="26" t="s">
        <v>519</v>
      </c>
      <c r="D327" s="26">
        <v>-35</v>
      </c>
      <c r="E327" s="26">
        <v>130</v>
      </c>
      <c r="F327" s="26">
        <v>32.799999999999997</v>
      </c>
      <c r="G327" s="26">
        <v>28.95</v>
      </c>
      <c r="I327" s="26" t="str">
        <f t="shared" ref="I327:I390" si="11">IF(F327&gt;G327,"Y","-")</f>
        <v>Y</v>
      </c>
    </row>
    <row r="328" spans="1:9" x14ac:dyDescent="0.15">
      <c r="A328" s="26">
        <f t="shared" si="10"/>
        <v>2352</v>
      </c>
      <c r="B328" s="27" t="s">
        <v>2131</v>
      </c>
      <c r="C328" s="26" t="s">
        <v>520</v>
      </c>
      <c r="D328" s="26">
        <v>174</v>
      </c>
      <c r="E328" s="26">
        <v>0</v>
      </c>
      <c r="F328" s="26">
        <v>10.7</v>
      </c>
      <c r="G328" s="26">
        <v>10.5</v>
      </c>
      <c r="I328" s="26" t="str">
        <f t="shared" si="11"/>
        <v>Y</v>
      </c>
    </row>
    <row r="329" spans="1:9" x14ac:dyDescent="0.15">
      <c r="A329" s="26">
        <f t="shared" si="10"/>
        <v>2353</v>
      </c>
      <c r="B329" s="27" t="s">
        <v>2132</v>
      </c>
      <c r="C329" s="26" t="s">
        <v>521</v>
      </c>
      <c r="D329" s="26">
        <v>3486</v>
      </c>
      <c r="E329" s="26">
        <v>0</v>
      </c>
      <c r="F329" s="26">
        <v>12.3</v>
      </c>
      <c r="G329" s="26">
        <v>11.93</v>
      </c>
      <c r="I329" s="26" t="str">
        <f t="shared" si="11"/>
        <v>Y</v>
      </c>
    </row>
    <row r="330" spans="1:9" x14ac:dyDescent="0.15">
      <c r="A330" s="26">
        <f t="shared" si="10"/>
        <v>2354</v>
      </c>
      <c r="B330" s="27" t="s">
        <v>2133</v>
      </c>
      <c r="C330" s="26" t="s">
        <v>522</v>
      </c>
      <c r="D330" s="26">
        <v>67</v>
      </c>
      <c r="E330" s="26">
        <v>0</v>
      </c>
      <c r="F330" s="26">
        <v>70.599999999999994</v>
      </c>
      <c r="G330" s="26">
        <v>67.05</v>
      </c>
      <c r="I330" s="26" t="str">
        <f t="shared" si="11"/>
        <v>Y</v>
      </c>
    </row>
    <row r="331" spans="1:9" x14ac:dyDescent="0.15">
      <c r="A331" s="26">
        <f t="shared" si="10"/>
        <v>2355</v>
      </c>
      <c r="B331" s="27" t="s">
        <v>2134</v>
      </c>
      <c r="C331" s="26" t="s">
        <v>523</v>
      </c>
      <c r="D331" s="26">
        <v>-281</v>
      </c>
      <c r="E331" s="26">
        <v>0</v>
      </c>
      <c r="F331" s="26">
        <v>59</v>
      </c>
      <c r="G331" s="26">
        <v>59.04</v>
      </c>
      <c r="I331" s="26" t="str">
        <f t="shared" si="11"/>
        <v>-</v>
      </c>
    </row>
    <row r="332" spans="1:9" x14ac:dyDescent="0.15">
      <c r="A332" s="26">
        <f t="shared" si="10"/>
        <v>2356</v>
      </c>
      <c r="B332" s="27" t="s">
        <v>2135</v>
      </c>
      <c r="C332" s="26" t="s">
        <v>524</v>
      </c>
      <c r="D332" s="26">
        <v>-2841</v>
      </c>
      <c r="E332" s="26">
        <v>-2247</v>
      </c>
      <c r="F332" s="26">
        <v>23.15</v>
      </c>
      <c r="G332" s="26">
        <v>24.33</v>
      </c>
      <c r="I332" s="26" t="str">
        <f t="shared" si="11"/>
        <v>-</v>
      </c>
    </row>
    <row r="333" spans="1:9" x14ac:dyDescent="0.15">
      <c r="A333" s="26">
        <f t="shared" si="10"/>
        <v>2357</v>
      </c>
      <c r="B333" s="27" t="s">
        <v>2136</v>
      </c>
      <c r="C333" s="26" t="s">
        <v>525</v>
      </c>
      <c r="D333" s="26">
        <v>651</v>
      </c>
      <c r="E333" s="26">
        <v>-17</v>
      </c>
      <c r="F333" s="26">
        <v>278</v>
      </c>
      <c r="G333" s="26">
        <v>273.04000000000002</v>
      </c>
      <c r="I333" s="26" t="str">
        <f t="shared" si="11"/>
        <v>Y</v>
      </c>
    </row>
    <row r="334" spans="1:9" x14ac:dyDescent="0.15">
      <c r="A334" s="26">
        <f t="shared" si="10"/>
        <v>2358</v>
      </c>
      <c r="B334" s="27" t="s">
        <v>2137</v>
      </c>
      <c r="C334" s="26" t="s">
        <v>526</v>
      </c>
      <c r="D334" s="26">
        <v>-7</v>
      </c>
      <c r="E334" s="26">
        <v>0</v>
      </c>
      <c r="F334" s="26">
        <v>10.1</v>
      </c>
      <c r="G334" s="26">
        <v>10.050000000000001</v>
      </c>
      <c r="I334" s="26" t="str">
        <f t="shared" si="11"/>
        <v>Y</v>
      </c>
    </row>
    <row r="335" spans="1:9" x14ac:dyDescent="0.15">
      <c r="A335" s="26">
        <f t="shared" si="10"/>
        <v>2359</v>
      </c>
      <c r="B335" s="27" t="s">
        <v>2138</v>
      </c>
      <c r="C335" s="26" t="s">
        <v>527</v>
      </c>
      <c r="D335" s="26">
        <v>-42</v>
      </c>
      <c r="E335" s="26">
        <v>0</v>
      </c>
      <c r="F335" s="26">
        <v>15.9</v>
      </c>
      <c r="G335" s="26">
        <v>15.5</v>
      </c>
      <c r="I335" s="26" t="str">
        <f t="shared" si="11"/>
        <v>Y</v>
      </c>
    </row>
    <row r="336" spans="1:9" x14ac:dyDescent="0.15">
      <c r="A336" s="26">
        <f t="shared" si="10"/>
        <v>2360</v>
      </c>
      <c r="B336" s="27" t="s">
        <v>2139</v>
      </c>
      <c r="C336" s="26" t="s">
        <v>528</v>
      </c>
      <c r="D336" s="26">
        <v>61</v>
      </c>
      <c r="E336" s="26">
        <v>0</v>
      </c>
      <c r="F336" s="26">
        <v>74.599999999999994</v>
      </c>
      <c r="G336" s="26">
        <v>70.290000000000006</v>
      </c>
      <c r="I336" s="26" t="str">
        <f t="shared" si="11"/>
        <v>Y</v>
      </c>
    </row>
    <row r="337" spans="1:9" x14ac:dyDescent="0.15">
      <c r="A337" s="26">
        <f t="shared" si="10"/>
        <v>2362</v>
      </c>
      <c r="B337" s="27" t="s">
        <v>2140</v>
      </c>
      <c r="C337" s="26" t="s">
        <v>529</v>
      </c>
      <c r="D337" s="26">
        <v>-647</v>
      </c>
      <c r="E337" s="26">
        <v>0</v>
      </c>
      <c r="F337" s="26">
        <v>32.6</v>
      </c>
      <c r="G337" s="26">
        <v>31.95</v>
      </c>
      <c r="I337" s="26" t="str">
        <f t="shared" si="11"/>
        <v>Y</v>
      </c>
    </row>
    <row r="338" spans="1:9" x14ac:dyDescent="0.15">
      <c r="A338" s="26">
        <f t="shared" si="10"/>
        <v>2363</v>
      </c>
      <c r="B338" s="27" t="s">
        <v>2141</v>
      </c>
      <c r="C338" s="26" t="s">
        <v>530</v>
      </c>
      <c r="D338" s="26">
        <v>48</v>
      </c>
      <c r="E338" s="26">
        <v>0</v>
      </c>
      <c r="F338" s="26">
        <v>7.31</v>
      </c>
      <c r="G338" s="26">
        <v>7.15</v>
      </c>
      <c r="I338" s="26" t="str">
        <f t="shared" si="11"/>
        <v>Y</v>
      </c>
    </row>
    <row r="339" spans="1:9" x14ac:dyDescent="0.15">
      <c r="A339" s="26">
        <f t="shared" si="10"/>
        <v>2364</v>
      </c>
      <c r="B339" s="27" t="s">
        <v>2142</v>
      </c>
      <c r="C339" s="26" t="s">
        <v>531</v>
      </c>
      <c r="D339" s="26">
        <v>0</v>
      </c>
      <c r="E339" s="26">
        <v>0</v>
      </c>
      <c r="F339" s="26">
        <v>1.84</v>
      </c>
      <c r="G339" s="26">
        <v>1.79</v>
      </c>
      <c r="I339" s="26" t="str">
        <f t="shared" si="11"/>
        <v>Y</v>
      </c>
    </row>
    <row r="340" spans="1:9" x14ac:dyDescent="0.15">
      <c r="A340" s="26">
        <f t="shared" si="10"/>
        <v>2365</v>
      </c>
      <c r="B340" s="27" t="s">
        <v>2143</v>
      </c>
      <c r="C340" s="26" t="s">
        <v>532</v>
      </c>
      <c r="D340" s="26">
        <v>-33</v>
      </c>
      <c r="E340" s="26">
        <v>0</v>
      </c>
      <c r="F340" s="26">
        <v>9.56</v>
      </c>
      <c r="G340" s="26">
        <v>9.41</v>
      </c>
      <c r="I340" s="26" t="str">
        <f t="shared" si="11"/>
        <v>Y</v>
      </c>
    </row>
    <row r="341" spans="1:9" x14ac:dyDescent="0.15">
      <c r="A341" s="26">
        <f t="shared" si="10"/>
        <v>2367</v>
      </c>
      <c r="B341" s="27" t="s">
        <v>2144</v>
      </c>
      <c r="C341" s="26" t="s">
        <v>533</v>
      </c>
      <c r="D341" s="26">
        <v>388</v>
      </c>
      <c r="E341" s="26">
        <v>0</v>
      </c>
      <c r="F341" s="26">
        <v>12.3</v>
      </c>
      <c r="G341" s="26">
        <v>11.98</v>
      </c>
      <c r="I341" s="26" t="str">
        <f t="shared" si="11"/>
        <v>Y</v>
      </c>
    </row>
    <row r="342" spans="1:9" x14ac:dyDescent="0.15">
      <c r="A342" s="26">
        <f t="shared" si="10"/>
        <v>2368</v>
      </c>
      <c r="B342" s="27" t="s">
        <v>2145</v>
      </c>
      <c r="C342" s="26" t="s">
        <v>534</v>
      </c>
      <c r="D342" s="26">
        <v>414</v>
      </c>
      <c r="E342" s="26">
        <v>0</v>
      </c>
      <c r="F342" s="26">
        <v>9.3000000000000007</v>
      </c>
      <c r="G342" s="26">
        <v>9.1</v>
      </c>
      <c r="I342" s="26" t="str">
        <f t="shared" si="11"/>
        <v>Y</v>
      </c>
    </row>
    <row r="343" spans="1:9" x14ac:dyDescent="0.15">
      <c r="A343" s="26">
        <f t="shared" si="10"/>
        <v>2369</v>
      </c>
      <c r="B343" s="27" t="s">
        <v>2146</v>
      </c>
      <c r="C343" s="26" t="s">
        <v>535</v>
      </c>
      <c r="D343" s="26">
        <v>7</v>
      </c>
      <c r="E343" s="26">
        <v>0</v>
      </c>
      <c r="F343" s="26">
        <v>9.06</v>
      </c>
      <c r="G343" s="26">
        <v>8.8800000000000008</v>
      </c>
      <c r="I343" s="26" t="str">
        <f t="shared" si="11"/>
        <v>Y</v>
      </c>
    </row>
    <row r="344" spans="1:9" x14ac:dyDescent="0.15">
      <c r="A344" s="26">
        <f t="shared" si="10"/>
        <v>2371</v>
      </c>
      <c r="B344" s="27" t="s">
        <v>2147</v>
      </c>
      <c r="C344" s="26" t="s">
        <v>536</v>
      </c>
      <c r="D344" s="26">
        <v>497</v>
      </c>
      <c r="E344" s="26">
        <v>0</v>
      </c>
      <c r="F344" s="26">
        <v>5.78</v>
      </c>
      <c r="G344" s="26">
        <v>5.34</v>
      </c>
      <c r="I344" s="26" t="str">
        <f t="shared" si="11"/>
        <v>Y</v>
      </c>
    </row>
    <row r="345" spans="1:9" x14ac:dyDescent="0.15">
      <c r="A345" s="26">
        <f t="shared" si="10"/>
        <v>2373</v>
      </c>
      <c r="B345" s="27" t="s">
        <v>2148</v>
      </c>
      <c r="C345" s="26" t="s">
        <v>537</v>
      </c>
      <c r="D345" s="26">
        <v>30</v>
      </c>
      <c r="E345" s="26">
        <v>0</v>
      </c>
      <c r="F345" s="26">
        <v>56</v>
      </c>
      <c r="G345" s="26">
        <v>54.57</v>
      </c>
      <c r="I345" s="26" t="str">
        <f t="shared" si="11"/>
        <v>Y</v>
      </c>
    </row>
    <row r="346" spans="1:9" x14ac:dyDescent="0.15">
      <c r="A346" s="26">
        <f t="shared" si="10"/>
        <v>2374</v>
      </c>
      <c r="B346" s="27" t="s">
        <v>2149</v>
      </c>
      <c r="C346" s="26" t="s">
        <v>538</v>
      </c>
      <c r="D346" s="26">
        <v>16</v>
      </c>
      <c r="E346" s="26">
        <v>0</v>
      </c>
      <c r="F346" s="26">
        <v>21.15</v>
      </c>
      <c r="G346" s="26">
        <v>20.69</v>
      </c>
      <c r="I346" s="26" t="str">
        <f t="shared" si="11"/>
        <v>Y</v>
      </c>
    </row>
    <row r="347" spans="1:9" x14ac:dyDescent="0.15">
      <c r="A347" s="26">
        <f t="shared" si="10"/>
        <v>2375</v>
      </c>
      <c r="B347" s="27" t="s">
        <v>2150</v>
      </c>
      <c r="C347" s="26" t="s">
        <v>539</v>
      </c>
      <c r="D347" s="26">
        <v>-1</v>
      </c>
      <c r="E347" s="26">
        <v>0</v>
      </c>
      <c r="F347" s="26">
        <v>14.25</v>
      </c>
      <c r="G347" s="26">
        <v>14.06</v>
      </c>
      <c r="I347" s="26" t="str">
        <f t="shared" si="11"/>
        <v>Y</v>
      </c>
    </row>
    <row r="348" spans="1:9" x14ac:dyDescent="0.15">
      <c r="A348" s="26">
        <f t="shared" si="10"/>
        <v>2376</v>
      </c>
      <c r="B348" s="27" t="s">
        <v>2151</v>
      </c>
      <c r="C348" s="26" t="s">
        <v>540</v>
      </c>
      <c r="D348" s="26">
        <v>-51</v>
      </c>
      <c r="E348" s="26">
        <v>0</v>
      </c>
      <c r="F348" s="26">
        <v>36.4</v>
      </c>
      <c r="G348" s="26">
        <v>36.369999999999997</v>
      </c>
      <c r="I348" s="26" t="str">
        <f t="shared" si="11"/>
        <v>Y</v>
      </c>
    </row>
    <row r="349" spans="1:9" x14ac:dyDescent="0.15">
      <c r="A349" s="26">
        <f t="shared" si="10"/>
        <v>2377</v>
      </c>
      <c r="B349" s="27" t="s">
        <v>2152</v>
      </c>
      <c r="C349" s="26" t="s">
        <v>541</v>
      </c>
      <c r="D349" s="26">
        <v>-411</v>
      </c>
      <c r="E349" s="26">
        <v>261</v>
      </c>
      <c r="F349" s="26">
        <v>44.9</v>
      </c>
      <c r="G349" s="26">
        <v>44.06</v>
      </c>
      <c r="I349" s="26" t="str">
        <f t="shared" si="11"/>
        <v>Y</v>
      </c>
    </row>
    <row r="350" spans="1:9" x14ac:dyDescent="0.15">
      <c r="A350" s="26">
        <f t="shared" si="10"/>
        <v>2379</v>
      </c>
      <c r="B350" s="27" t="s">
        <v>2153</v>
      </c>
      <c r="C350" s="26" t="s">
        <v>542</v>
      </c>
      <c r="D350" s="26">
        <v>-238</v>
      </c>
      <c r="E350" s="26">
        <v>-49</v>
      </c>
      <c r="F350" s="26">
        <v>81.7</v>
      </c>
      <c r="G350" s="26">
        <v>83.12</v>
      </c>
      <c r="I350" s="26" t="str">
        <f t="shared" si="11"/>
        <v>-</v>
      </c>
    </row>
    <row r="351" spans="1:9" x14ac:dyDescent="0.15">
      <c r="A351" s="26">
        <f t="shared" si="10"/>
        <v>2380</v>
      </c>
      <c r="B351" s="27" t="s">
        <v>2154</v>
      </c>
      <c r="C351" s="26" t="s">
        <v>543</v>
      </c>
      <c r="D351" s="26">
        <v>-1</v>
      </c>
      <c r="E351" s="26">
        <v>0</v>
      </c>
      <c r="F351" s="26">
        <v>7.47</v>
      </c>
      <c r="G351" s="26">
        <v>7.4</v>
      </c>
      <c r="I351" s="26" t="str">
        <f t="shared" si="11"/>
        <v>Y</v>
      </c>
    </row>
    <row r="352" spans="1:9" x14ac:dyDescent="0.15">
      <c r="A352" s="26">
        <f t="shared" si="10"/>
        <v>2382</v>
      </c>
      <c r="B352" s="27" t="s">
        <v>2155</v>
      </c>
      <c r="C352" s="26" t="s">
        <v>544</v>
      </c>
      <c r="D352" s="26">
        <v>2960</v>
      </c>
      <c r="E352" s="26">
        <v>-55</v>
      </c>
      <c r="F352" s="26">
        <v>56.9</v>
      </c>
      <c r="G352" s="26">
        <v>56.19</v>
      </c>
      <c r="I352" s="26" t="str">
        <f t="shared" si="11"/>
        <v>Y</v>
      </c>
    </row>
    <row r="353" spans="1:9" x14ac:dyDescent="0.15">
      <c r="A353" s="26">
        <f t="shared" si="10"/>
        <v>2383</v>
      </c>
      <c r="B353" s="27" t="s">
        <v>2156</v>
      </c>
      <c r="C353" s="26" t="s">
        <v>545</v>
      </c>
      <c r="D353" s="26">
        <v>-69</v>
      </c>
      <c r="E353" s="26">
        <v>-257</v>
      </c>
      <c r="F353" s="26">
        <v>58.8</v>
      </c>
      <c r="G353" s="26">
        <v>59.66</v>
      </c>
      <c r="I353" s="26" t="str">
        <f t="shared" si="11"/>
        <v>-</v>
      </c>
    </row>
    <row r="354" spans="1:9" x14ac:dyDescent="0.15">
      <c r="A354" s="26">
        <f t="shared" si="10"/>
        <v>2385</v>
      </c>
      <c r="B354" s="27" t="s">
        <v>2157</v>
      </c>
      <c r="C354" s="26" t="s">
        <v>546</v>
      </c>
      <c r="D354" s="26">
        <v>291</v>
      </c>
      <c r="E354" s="26">
        <v>-37</v>
      </c>
      <c r="F354" s="26">
        <v>74.2</v>
      </c>
      <c r="G354" s="26">
        <v>71.88</v>
      </c>
      <c r="I354" s="26" t="str">
        <f t="shared" si="11"/>
        <v>Y</v>
      </c>
    </row>
    <row r="355" spans="1:9" x14ac:dyDescent="0.15">
      <c r="A355" s="26">
        <f t="shared" si="10"/>
        <v>2387</v>
      </c>
      <c r="B355" s="27" t="s">
        <v>2158</v>
      </c>
      <c r="C355" s="26" t="s">
        <v>547</v>
      </c>
      <c r="D355" s="26">
        <v>198</v>
      </c>
      <c r="E355" s="26">
        <v>0</v>
      </c>
      <c r="F355" s="26">
        <v>15.45</v>
      </c>
      <c r="G355" s="26">
        <v>15.25</v>
      </c>
      <c r="I355" s="26" t="str">
        <f t="shared" si="11"/>
        <v>Y</v>
      </c>
    </row>
    <row r="356" spans="1:9" x14ac:dyDescent="0.15">
      <c r="A356" s="26">
        <f t="shared" si="10"/>
        <v>2388</v>
      </c>
      <c r="B356" s="27" t="s">
        <v>2159</v>
      </c>
      <c r="C356" s="26" t="s">
        <v>548</v>
      </c>
      <c r="D356" s="26">
        <v>-13</v>
      </c>
      <c r="E356" s="26">
        <v>0</v>
      </c>
      <c r="F356" s="26">
        <v>8.99</v>
      </c>
      <c r="G356" s="26">
        <v>8.82</v>
      </c>
      <c r="I356" s="26" t="str">
        <f t="shared" si="11"/>
        <v>Y</v>
      </c>
    </row>
    <row r="357" spans="1:9" x14ac:dyDescent="0.15">
      <c r="A357" s="26">
        <f t="shared" si="10"/>
        <v>2390</v>
      </c>
      <c r="B357" s="27" t="s">
        <v>2160</v>
      </c>
      <c r="C357" s="26" t="s">
        <v>549</v>
      </c>
      <c r="D357" s="26">
        <v>-66</v>
      </c>
      <c r="E357" s="26">
        <v>0</v>
      </c>
      <c r="F357" s="26">
        <v>21.55</v>
      </c>
      <c r="G357" s="26">
        <v>20.6</v>
      </c>
      <c r="I357" s="26" t="str">
        <f t="shared" si="11"/>
        <v>Y</v>
      </c>
    </row>
    <row r="358" spans="1:9" x14ac:dyDescent="0.15">
      <c r="A358" s="26">
        <f t="shared" si="10"/>
        <v>2392</v>
      </c>
      <c r="B358" s="27" t="s">
        <v>2161</v>
      </c>
      <c r="C358" s="26" t="s">
        <v>550</v>
      </c>
      <c r="D358" s="26">
        <v>1337</v>
      </c>
      <c r="E358" s="26">
        <v>0</v>
      </c>
      <c r="F358" s="26">
        <v>45.75</v>
      </c>
      <c r="G358" s="26">
        <v>43.75</v>
      </c>
      <c r="I358" s="26" t="str">
        <f t="shared" si="11"/>
        <v>Y</v>
      </c>
    </row>
    <row r="359" spans="1:9" x14ac:dyDescent="0.15">
      <c r="A359" s="26">
        <f t="shared" si="10"/>
        <v>2393</v>
      </c>
      <c r="B359" s="27" t="s">
        <v>2162</v>
      </c>
      <c r="C359" s="26" t="s">
        <v>551</v>
      </c>
      <c r="D359" s="26">
        <v>553</v>
      </c>
      <c r="E359" s="26">
        <v>-630</v>
      </c>
      <c r="F359" s="26">
        <v>55.6</v>
      </c>
      <c r="G359" s="26">
        <v>57.17</v>
      </c>
      <c r="I359" s="26" t="str">
        <f t="shared" si="11"/>
        <v>-</v>
      </c>
    </row>
    <row r="360" spans="1:9" x14ac:dyDescent="0.15">
      <c r="A360" s="26">
        <f t="shared" si="10"/>
        <v>2395</v>
      </c>
      <c r="B360" s="27" t="s">
        <v>2163</v>
      </c>
      <c r="C360" s="26" t="s">
        <v>552</v>
      </c>
      <c r="D360" s="26">
        <v>188</v>
      </c>
      <c r="E360" s="26">
        <v>12</v>
      </c>
      <c r="F360" s="26">
        <v>231</v>
      </c>
      <c r="G360" s="26">
        <v>223.92</v>
      </c>
      <c r="I360" s="26" t="str">
        <f t="shared" si="11"/>
        <v>Y</v>
      </c>
    </row>
    <row r="361" spans="1:9" x14ac:dyDescent="0.15">
      <c r="A361" s="26">
        <f t="shared" si="10"/>
        <v>2397</v>
      </c>
      <c r="B361" s="27" t="s">
        <v>2164</v>
      </c>
      <c r="C361" s="26" t="s">
        <v>553</v>
      </c>
      <c r="D361" s="26">
        <v>18</v>
      </c>
      <c r="E361" s="26">
        <v>342</v>
      </c>
      <c r="F361" s="26">
        <v>52.6</v>
      </c>
      <c r="G361" s="26">
        <v>48.73</v>
      </c>
      <c r="I361" s="26" t="str">
        <f t="shared" si="11"/>
        <v>Y</v>
      </c>
    </row>
    <row r="362" spans="1:9" x14ac:dyDescent="0.15">
      <c r="A362" s="26">
        <f t="shared" si="10"/>
        <v>2399</v>
      </c>
      <c r="B362" s="27" t="s">
        <v>2165</v>
      </c>
      <c r="C362" s="26" t="s">
        <v>554</v>
      </c>
      <c r="D362" s="26">
        <v>-48</v>
      </c>
      <c r="E362" s="26">
        <v>0</v>
      </c>
      <c r="F362" s="26">
        <v>7.96</v>
      </c>
      <c r="G362" s="26">
        <v>8.0299999999999994</v>
      </c>
      <c r="I362" s="26" t="str">
        <f t="shared" si="11"/>
        <v>-</v>
      </c>
    </row>
    <row r="363" spans="1:9" x14ac:dyDescent="0.15">
      <c r="A363" s="26">
        <f t="shared" si="10"/>
        <v>2401</v>
      </c>
      <c r="B363" s="27" t="s">
        <v>2166</v>
      </c>
      <c r="C363" s="26" t="s">
        <v>555</v>
      </c>
      <c r="D363" s="26">
        <v>-77</v>
      </c>
      <c r="E363" s="26">
        <v>0</v>
      </c>
      <c r="F363" s="26">
        <v>12</v>
      </c>
      <c r="G363" s="26">
        <v>11.71</v>
      </c>
      <c r="I363" s="26" t="str">
        <f t="shared" si="11"/>
        <v>Y</v>
      </c>
    </row>
    <row r="364" spans="1:9" x14ac:dyDescent="0.15">
      <c r="A364" s="26">
        <f t="shared" si="10"/>
        <v>2402</v>
      </c>
      <c r="B364" s="27" t="s">
        <v>2167</v>
      </c>
      <c r="C364" s="26" t="s">
        <v>556</v>
      </c>
      <c r="D364" s="26">
        <v>59</v>
      </c>
      <c r="E364" s="26">
        <v>0</v>
      </c>
      <c r="F364" s="26">
        <v>17</v>
      </c>
      <c r="G364" s="26">
        <v>16.440000000000001</v>
      </c>
      <c r="I364" s="26" t="str">
        <f t="shared" si="11"/>
        <v>Y</v>
      </c>
    </row>
    <row r="365" spans="1:9" x14ac:dyDescent="0.15">
      <c r="A365" s="26">
        <f t="shared" si="10"/>
        <v>2404</v>
      </c>
      <c r="B365" s="27" t="s">
        <v>2168</v>
      </c>
      <c r="C365" s="26" t="s">
        <v>557</v>
      </c>
      <c r="D365" s="26">
        <v>-365</v>
      </c>
      <c r="E365" s="26">
        <v>0</v>
      </c>
      <c r="F365" s="26">
        <v>52.1</v>
      </c>
      <c r="G365" s="26">
        <v>49.54</v>
      </c>
      <c r="I365" s="26" t="str">
        <f t="shared" si="11"/>
        <v>Y</v>
      </c>
    </row>
    <row r="366" spans="1:9" x14ac:dyDescent="0.15">
      <c r="A366" s="26">
        <f t="shared" si="10"/>
        <v>2405</v>
      </c>
      <c r="B366" s="27" t="s">
        <v>2169</v>
      </c>
      <c r="C366" s="26" t="s">
        <v>558</v>
      </c>
      <c r="D366" s="26">
        <v>144</v>
      </c>
      <c r="E366" s="26">
        <v>0</v>
      </c>
      <c r="F366" s="26">
        <v>9.6999999999999993</v>
      </c>
      <c r="G366" s="26">
        <v>8.7100000000000009</v>
      </c>
      <c r="I366" s="26" t="str">
        <f t="shared" si="11"/>
        <v>Y</v>
      </c>
    </row>
    <row r="367" spans="1:9" x14ac:dyDescent="0.15">
      <c r="A367" s="26">
        <f t="shared" si="10"/>
        <v>2406</v>
      </c>
      <c r="B367" s="27" t="s">
        <v>2170</v>
      </c>
      <c r="C367" s="26" t="s">
        <v>559</v>
      </c>
      <c r="D367" s="26">
        <v>-695</v>
      </c>
      <c r="E367" s="26">
        <v>-1130</v>
      </c>
      <c r="F367" s="26">
        <v>30.9</v>
      </c>
      <c r="G367" s="26">
        <v>32.01</v>
      </c>
      <c r="I367" s="26" t="str">
        <f t="shared" si="11"/>
        <v>-</v>
      </c>
    </row>
    <row r="368" spans="1:9" x14ac:dyDescent="0.15">
      <c r="A368" s="26">
        <f t="shared" si="10"/>
        <v>2408</v>
      </c>
      <c r="B368" s="27" t="s">
        <v>2171</v>
      </c>
      <c r="C368" s="26" t="s">
        <v>560</v>
      </c>
      <c r="D368" s="26">
        <v>420</v>
      </c>
      <c r="E368" s="26">
        <v>0</v>
      </c>
      <c r="F368" s="26">
        <v>42.7</v>
      </c>
      <c r="G368" s="26">
        <v>40.6</v>
      </c>
      <c r="I368" s="26" t="str">
        <f t="shared" si="11"/>
        <v>Y</v>
      </c>
    </row>
    <row r="369" spans="1:9" x14ac:dyDescent="0.15">
      <c r="A369" s="26">
        <f t="shared" si="10"/>
        <v>2409</v>
      </c>
      <c r="B369" s="27" t="s">
        <v>2172</v>
      </c>
      <c r="C369" s="26" t="s">
        <v>561</v>
      </c>
      <c r="D369" s="26">
        <v>-24882</v>
      </c>
      <c r="E369" s="26">
        <v>810</v>
      </c>
      <c r="F369" s="26">
        <v>8.9499999999999993</v>
      </c>
      <c r="G369" s="26">
        <v>8.89</v>
      </c>
      <c r="I369" s="26" t="str">
        <f t="shared" si="11"/>
        <v>Y</v>
      </c>
    </row>
    <row r="370" spans="1:9" x14ac:dyDescent="0.15">
      <c r="A370" s="26">
        <f t="shared" si="10"/>
        <v>2412</v>
      </c>
      <c r="B370" s="27" t="s">
        <v>2173</v>
      </c>
      <c r="C370" s="26" t="s">
        <v>562</v>
      </c>
      <c r="D370" s="26">
        <v>-119</v>
      </c>
      <c r="E370" s="26">
        <v>250</v>
      </c>
      <c r="F370" s="26">
        <v>106</v>
      </c>
      <c r="G370" s="26">
        <v>104.88</v>
      </c>
      <c r="I370" s="26" t="str">
        <f t="shared" si="11"/>
        <v>Y</v>
      </c>
    </row>
    <row r="371" spans="1:9" x14ac:dyDescent="0.15">
      <c r="A371" s="26">
        <f t="shared" si="10"/>
        <v>2413</v>
      </c>
      <c r="B371" s="27" t="s">
        <v>2174</v>
      </c>
      <c r="C371" s="26" t="s">
        <v>563</v>
      </c>
      <c r="D371" s="26">
        <v>9</v>
      </c>
      <c r="E371" s="26">
        <v>0</v>
      </c>
      <c r="F371" s="26">
        <v>15.45</v>
      </c>
      <c r="G371" s="26">
        <v>15.47</v>
      </c>
      <c r="I371" s="26" t="str">
        <f t="shared" si="11"/>
        <v>-</v>
      </c>
    </row>
    <row r="372" spans="1:9" x14ac:dyDescent="0.15">
      <c r="A372" s="26">
        <f t="shared" si="10"/>
        <v>2414</v>
      </c>
      <c r="B372" s="27" t="s">
        <v>2175</v>
      </c>
      <c r="C372" s="26" t="s">
        <v>564</v>
      </c>
      <c r="D372" s="26">
        <v>-26</v>
      </c>
      <c r="E372" s="26">
        <v>0</v>
      </c>
      <c r="F372" s="26">
        <v>16.25</v>
      </c>
      <c r="G372" s="26">
        <v>16.190000000000001</v>
      </c>
      <c r="I372" s="26" t="str">
        <f t="shared" si="11"/>
        <v>Y</v>
      </c>
    </row>
    <row r="373" spans="1:9" x14ac:dyDescent="0.15">
      <c r="A373" s="26">
        <f t="shared" si="10"/>
        <v>2415</v>
      </c>
      <c r="B373" s="27" t="s">
        <v>2176</v>
      </c>
      <c r="C373" s="26" t="s">
        <v>565</v>
      </c>
      <c r="D373" s="26">
        <v>-7</v>
      </c>
      <c r="E373" s="26">
        <v>0</v>
      </c>
      <c r="F373" s="26">
        <v>13.5</v>
      </c>
      <c r="G373" s="26">
        <v>12.92</v>
      </c>
      <c r="I373" s="26" t="str">
        <f t="shared" si="11"/>
        <v>Y</v>
      </c>
    </row>
    <row r="374" spans="1:9" x14ac:dyDescent="0.15">
      <c r="A374" s="26">
        <f t="shared" si="10"/>
        <v>2417</v>
      </c>
      <c r="B374" s="27" t="s">
        <v>2177</v>
      </c>
      <c r="C374" s="26" t="s">
        <v>566</v>
      </c>
      <c r="D374" s="26">
        <v>0</v>
      </c>
      <c r="E374" s="26">
        <v>0</v>
      </c>
      <c r="F374" s="26">
        <v>10.25</v>
      </c>
      <c r="G374" s="26">
        <v>9.93</v>
      </c>
      <c r="I374" s="26" t="str">
        <f t="shared" si="11"/>
        <v>Y</v>
      </c>
    </row>
    <row r="375" spans="1:9" x14ac:dyDescent="0.15">
      <c r="A375" s="26">
        <f t="shared" si="10"/>
        <v>2419</v>
      </c>
      <c r="B375" s="27" t="s">
        <v>2178</v>
      </c>
      <c r="C375" s="26" t="s">
        <v>567</v>
      </c>
      <c r="D375" s="26">
        <v>202</v>
      </c>
      <c r="E375" s="26">
        <v>0</v>
      </c>
      <c r="F375" s="26">
        <v>23.95</v>
      </c>
      <c r="G375" s="26">
        <v>23.76</v>
      </c>
      <c r="I375" s="26" t="str">
        <f t="shared" si="11"/>
        <v>Y</v>
      </c>
    </row>
    <row r="376" spans="1:9" x14ac:dyDescent="0.15">
      <c r="A376" s="26">
        <f t="shared" si="10"/>
        <v>2420</v>
      </c>
      <c r="B376" s="27" t="s">
        <v>2179</v>
      </c>
      <c r="C376" s="26" t="s">
        <v>568</v>
      </c>
      <c r="D376" s="26">
        <v>-23</v>
      </c>
      <c r="E376" s="26">
        <v>0</v>
      </c>
      <c r="F376" s="26">
        <v>47.8</v>
      </c>
      <c r="G376" s="26">
        <v>45.49</v>
      </c>
      <c r="I376" s="26" t="str">
        <f t="shared" si="11"/>
        <v>Y</v>
      </c>
    </row>
    <row r="377" spans="1:9" x14ac:dyDescent="0.15">
      <c r="A377" s="26">
        <f t="shared" si="10"/>
        <v>2421</v>
      </c>
      <c r="B377" s="27" t="s">
        <v>2180</v>
      </c>
      <c r="C377" s="26" t="s">
        <v>569</v>
      </c>
      <c r="D377" s="26">
        <v>-531</v>
      </c>
      <c r="E377" s="26">
        <v>1080</v>
      </c>
      <c r="F377" s="26">
        <v>21.35</v>
      </c>
      <c r="G377" s="26">
        <v>22.83</v>
      </c>
      <c r="I377" s="26" t="str">
        <f t="shared" si="11"/>
        <v>-</v>
      </c>
    </row>
    <row r="378" spans="1:9" x14ac:dyDescent="0.15">
      <c r="A378" s="26">
        <f t="shared" si="10"/>
        <v>2423</v>
      </c>
      <c r="B378" s="27" t="s">
        <v>2181</v>
      </c>
      <c r="C378" s="26" t="s">
        <v>570</v>
      </c>
      <c r="D378" s="26">
        <v>-1</v>
      </c>
      <c r="E378" s="26">
        <v>0</v>
      </c>
      <c r="F378" s="26">
        <v>17.350000000000001</v>
      </c>
      <c r="G378" s="26">
        <v>17.14</v>
      </c>
      <c r="I378" s="26" t="str">
        <f t="shared" si="11"/>
        <v>Y</v>
      </c>
    </row>
    <row r="379" spans="1:9" x14ac:dyDescent="0.15">
      <c r="A379" s="26">
        <f t="shared" si="10"/>
        <v>2424</v>
      </c>
      <c r="B379" s="27" t="s">
        <v>2182</v>
      </c>
      <c r="C379" s="26" t="s">
        <v>571</v>
      </c>
      <c r="D379" s="26">
        <v>0</v>
      </c>
      <c r="E379" s="26">
        <v>0</v>
      </c>
      <c r="F379" s="26">
        <v>27.95</v>
      </c>
      <c r="G379" s="26">
        <v>28.05</v>
      </c>
      <c r="I379" s="26" t="str">
        <f t="shared" si="11"/>
        <v>-</v>
      </c>
    </row>
    <row r="380" spans="1:9" x14ac:dyDescent="0.15">
      <c r="A380" s="26">
        <f t="shared" si="10"/>
        <v>2425</v>
      </c>
      <c r="B380" s="27" t="s">
        <v>2183</v>
      </c>
      <c r="C380" s="26" t="s">
        <v>572</v>
      </c>
      <c r="D380" s="26">
        <v>-12</v>
      </c>
      <c r="E380" s="26">
        <v>0</v>
      </c>
      <c r="F380" s="26">
        <v>21.25</v>
      </c>
      <c r="G380" s="26">
        <v>22.13</v>
      </c>
      <c r="I380" s="26" t="str">
        <f t="shared" si="11"/>
        <v>-</v>
      </c>
    </row>
    <row r="381" spans="1:9" x14ac:dyDescent="0.15">
      <c r="A381" s="26">
        <f t="shared" si="10"/>
        <v>2426</v>
      </c>
      <c r="B381" s="27" t="s">
        <v>2184</v>
      </c>
      <c r="C381" s="26" t="s">
        <v>573</v>
      </c>
      <c r="D381" s="26">
        <v>-71</v>
      </c>
      <c r="E381" s="26">
        <v>0</v>
      </c>
      <c r="F381" s="26">
        <v>15.2</v>
      </c>
      <c r="G381" s="26">
        <v>15.32</v>
      </c>
      <c r="I381" s="26" t="str">
        <f t="shared" si="11"/>
        <v>-</v>
      </c>
    </row>
    <row r="382" spans="1:9" x14ac:dyDescent="0.15">
      <c r="A382" s="26">
        <f t="shared" si="10"/>
        <v>2427</v>
      </c>
      <c r="B382" s="27" t="s">
        <v>2185</v>
      </c>
      <c r="C382" s="26" t="s">
        <v>574</v>
      </c>
      <c r="D382" s="26">
        <v>-2</v>
      </c>
      <c r="E382" s="26">
        <v>0</v>
      </c>
      <c r="F382" s="26">
        <v>6.39</v>
      </c>
      <c r="G382" s="26">
        <v>6.1</v>
      </c>
      <c r="I382" s="26" t="str">
        <f t="shared" si="11"/>
        <v>Y</v>
      </c>
    </row>
    <row r="383" spans="1:9" x14ac:dyDescent="0.15">
      <c r="A383" s="26">
        <f t="shared" si="10"/>
        <v>2428</v>
      </c>
      <c r="B383" s="27" t="s">
        <v>2186</v>
      </c>
      <c r="C383" s="26" t="s">
        <v>575</v>
      </c>
      <c r="D383" s="26">
        <v>-43</v>
      </c>
      <c r="E383" s="26">
        <v>0</v>
      </c>
      <c r="F383" s="26">
        <v>57.2</v>
      </c>
      <c r="G383" s="26">
        <v>55.15</v>
      </c>
      <c r="I383" s="26" t="str">
        <f t="shared" si="11"/>
        <v>Y</v>
      </c>
    </row>
    <row r="384" spans="1:9" x14ac:dyDescent="0.15">
      <c r="A384" s="26">
        <f t="shared" si="10"/>
        <v>2429</v>
      </c>
      <c r="B384" s="27" t="s">
        <v>2187</v>
      </c>
      <c r="C384" s="26" t="s">
        <v>576</v>
      </c>
      <c r="D384" s="26">
        <v>0</v>
      </c>
      <c r="E384" s="26">
        <v>0</v>
      </c>
      <c r="F384" s="26">
        <v>9.9</v>
      </c>
      <c r="G384" s="26">
        <v>10.09</v>
      </c>
      <c r="I384" s="26" t="str">
        <f t="shared" si="11"/>
        <v>-</v>
      </c>
    </row>
    <row r="385" spans="1:9" x14ac:dyDescent="0.15">
      <c r="A385" s="26">
        <f t="shared" si="10"/>
        <v>2430</v>
      </c>
      <c r="B385" s="27" t="s">
        <v>2188</v>
      </c>
      <c r="C385" s="26" t="s">
        <v>577</v>
      </c>
      <c r="D385" s="26">
        <v>10</v>
      </c>
      <c r="E385" s="26">
        <v>0</v>
      </c>
      <c r="F385" s="26">
        <v>23.75</v>
      </c>
      <c r="G385" s="26">
        <v>22.09</v>
      </c>
      <c r="I385" s="26" t="str">
        <f t="shared" si="11"/>
        <v>Y</v>
      </c>
    </row>
    <row r="386" spans="1:9" x14ac:dyDescent="0.15">
      <c r="A386" s="26">
        <f t="shared" si="10"/>
        <v>2431</v>
      </c>
      <c r="B386" s="27" t="s">
        <v>2189</v>
      </c>
      <c r="C386" s="26" t="s">
        <v>578</v>
      </c>
      <c r="D386" s="26">
        <v>24</v>
      </c>
      <c r="E386" s="26">
        <v>0</v>
      </c>
      <c r="F386" s="26">
        <v>15.05</v>
      </c>
      <c r="G386" s="26">
        <v>14.96</v>
      </c>
      <c r="I386" s="26" t="str">
        <f t="shared" si="11"/>
        <v>Y</v>
      </c>
    </row>
    <row r="387" spans="1:9" x14ac:dyDescent="0.15">
      <c r="A387" s="26">
        <f t="shared" si="10"/>
        <v>2433</v>
      </c>
      <c r="B387" s="27" t="s">
        <v>2190</v>
      </c>
      <c r="C387" s="26" t="s">
        <v>579</v>
      </c>
      <c r="D387" s="26">
        <v>-4</v>
      </c>
      <c r="E387" s="26">
        <v>0</v>
      </c>
      <c r="F387" s="26">
        <v>45.55</v>
      </c>
      <c r="G387" s="26">
        <v>44.81</v>
      </c>
      <c r="I387" s="26" t="str">
        <f t="shared" si="11"/>
        <v>Y</v>
      </c>
    </row>
    <row r="388" spans="1:9" x14ac:dyDescent="0.15">
      <c r="A388" s="26">
        <f t="shared" si="10"/>
        <v>2434</v>
      </c>
      <c r="B388" s="27" t="s">
        <v>2191</v>
      </c>
      <c r="C388" s="26" t="s">
        <v>580</v>
      </c>
      <c r="D388" s="26">
        <v>-2</v>
      </c>
      <c r="E388" s="26">
        <v>0</v>
      </c>
      <c r="F388" s="26">
        <v>6.45</v>
      </c>
      <c r="G388" s="26">
        <v>6.36</v>
      </c>
      <c r="I388" s="26" t="str">
        <f t="shared" si="11"/>
        <v>Y</v>
      </c>
    </row>
    <row r="389" spans="1:9" x14ac:dyDescent="0.15">
      <c r="A389" s="26">
        <f t="shared" si="10"/>
        <v>2436</v>
      </c>
      <c r="B389" s="27" t="s">
        <v>2192</v>
      </c>
      <c r="C389" s="26" t="s">
        <v>581</v>
      </c>
      <c r="D389" s="26">
        <v>76</v>
      </c>
      <c r="E389" s="26">
        <v>0</v>
      </c>
      <c r="F389" s="26">
        <v>22.1</v>
      </c>
      <c r="G389" s="26">
        <v>21.53</v>
      </c>
      <c r="I389" s="26" t="str">
        <f t="shared" si="11"/>
        <v>Y</v>
      </c>
    </row>
    <row r="390" spans="1:9" x14ac:dyDescent="0.15">
      <c r="A390" s="26">
        <f t="shared" si="10"/>
        <v>2437</v>
      </c>
      <c r="B390" s="27" t="s">
        <v>2193</v>
      </c>
      <c r="C390" s="26" t="s">
        <v>582</v>
      </c>
      <c r="D390" s="26">
        <v>42</v>
      </c>
      <c r="E390" s="26">
        <v>0</v>
      </c>
      <c r="F390" s="26">
        <v>53.5</v>
      </c>
      <c r="G390" s="26">
        <v>51.31</v>
      </c>
      <c r="I390" s="26" t="str">
        <f t="shared" si="11"/>
        <v>Y</v>
      </c>
    </row>
    <row r="391" spans="1:9" x14ac:dyDescent="0.15">
      <c r="A391" s="26">
        <f t="shared" ref="A391:A454" si="12">VALUE(B391)</f>
        <v>2438</v>
      </c>
      <c r="B391" s="27" t="s">
        <v>2194</v>
      </c>
      <c r="C391" s="26" t="s">
        <v>583</v>
      </c>
      <c r="D391" s="26">
        <v>1</v>
      </c>
      <c r="E391" s="26">
        <v>0</v>
      </c>
      <c r="F391" s="26">
        <v>15.65</v>
      </c>
      <c r="G391" s="26">
        <v>15.42</v>
      </c>
      <c r="I391" s="26" t="str">
        <f t="shared" ref="I391:I454" si="13">IF(F391&gt;G391,"Y","-")</f>
        <v>Y</v>
      </c>
    </row>
    <row r="392" spans="1:9" x14ac:dyDescent="0.15">
      <c r="A392" s="26">
        <f t="shared" si="12"/>
        <v>2439</v>
      </c>
      <c r="B392" s="27" t="s">
        <v>2195</v>
      </c>
      <c r="C392" s="26" t="s">
        <v>584</v>
      </c>
      <c r="D392" s="26">
        <v>-424</v>
      </c>
      <c r="E392" s="26">
        <v>0</v>
      </c>
      <c r="F392" s="26">
        <v>57.5</v>
      </c>
      <c r="G392" s="26">
        <v>57.63</v>
      </c>
      <c r="I392" s="26" t="str">
        <f t="shared" si="13"/>
        <v>-</v>
      </c>
    </row>
    <row r="393" spans="1:9" x14ac:dyDescent="0.15">
      <c r="A393" s="26">
        <f t="shared" si="12"/>
        <v>2440</v>
      </c>
      <c r="B393" s="27" t="s">
        <v>2196</v>
      </c>
      <c r="C393" s="26" t="s">
        <v>585</v>
      </c>
      <c r="D393" s="26">
        <v>4</v>
      </c>
      <c r="E393" s="26">
        <v>0</v>
      </c>
      <c r="F393" s="26">
        <v>7.99</v>
      </c>
      <c r="G393" s="26">
        <v>7.99</v>
      </c>
      <c r="I393" s="26" t="str">
        <f t="shared" si="13"/>
        <v>-</v>
      </c>
    </row>
    <row r="394" spans="1:9" x14ac:dyDescent="0.15">
      <c r="A394" s="26">
        <f t="shared" si="12"/>
        <v>2441</v>
      </c>
      <c r="B394" s="27" t="s">
        <v>2197</v>
      </c>
      <c r="C394" s="26" t="s">
        <v>586</v>
      </c>
      <c r="D394" s="26">
        <v>287</v>
      </c>
      <c r="E394" s="26">
        <v>0</v>
      </c>
      <c r="F394" s="26">
        <v>37</v>
      </c>
      <c r="G394" s="26">
        <v>36.26</v>
      </c>
      <c r="I394" s="26" t="str">
        <f t="shared" si="13"/>
        <v>Y</v>
      </c>
    </row>
    <row r="395" spans="1:9" x14ac:dyDescent="0.15">
      <c r="A395" s="26">
        <f t="shared" si="12"/>
        <v>2442</v>
      </c>
      <c r="B395" s="27" t="s">
        <v>2198</v>
      </c>
      <c r="C395" s="26" t="s">
        <v>587</v>
      </c>
      <c r="D395" s="26">
        <v>-3</v>
      </c>
      <c r="E395" s="26">
        <v>0</v>
      </c>
      <c r="F395" s="26">
        <v>6.35</v>
      </c>
      <c r="G395" s="26">
        <v>6.16</v>
      </c>
      <c r="I395" s="26" t="str">
        <f t="shared" si="13"/>
        <v>Y</v>
      </c>
    </row>
    <row r="396" spans="1:9" x14ac:dyDescent="0.15">
      <c r="A396" s="26">
        <f t="shared" si="12"/>
        <v>2443</v>
      </c>
      <c r="B396" s="27" t="s">
        <v>2199</v>
      </c>
      <c r="C396" s="26" t="s">
        <v>588</v>
      </c>
      <c r="D396" s="26">
        <v>2</v>
      </c>
      <c r="E396" s="26">
        <v>0</v>
      </c>
      <c r="F396" s="26">
        <v>7.11</v>
      </c>
      <c r="G396" s="26">
        <v>7.19</v>
      </c>
      <c r="I396" s="26" t="str">
        <f t="shared" si="13"/>
        <v>-</v>
      </c>
    </row>
    <row r="397" spans="1:9" x14ac:dyDescent="0.15">
      <c r="A397" s="26">
        <f t="shared" si="12"/>
        <v>2444</v>
      </c>
      <c r="B397" s="27" t="s">
        <v>2200</v>
      </c>
      <c r="C397" s="26" t="s">
        <v>589</v>
      </c>
      <c r="D397" s="26">
        <v>357</v>
      </c>
      <c r="E397" s="26">
        <v>0</v>
      </c>
      <c r="F397" s="26">
        <v>12.45</v>
      </c>
      <c r="G397" s="26">
        <v>11.13</v>
      </c>
      <c r="I397" s="26" t="str">
        <f t="shared" si="13"/>
        <v>Y</v>
      </c>
    </row>
    <row r="398" spans="1:9" x14ac:dyDescent="0.15">
      <c r="A398" s="26">
        <f t="shared" si="12"/>
        <v>2448</v>
      </c>
      <c r="B398" s="27" t="s">
        <v>2201</v>
      </c>
      <c r="C398" s="26" t="s">
        <v>590</v>
      </c>
      <c r="D398" s="26">
        <v>464</v>
      </c>
      <c r="E398" s="26">
        <v>-50</v>
      </c>
      <c r="F398" s="26">
        <v>27.8</v>
      </c>
      <c r="G398" s="26">
        <v>26.31</v>
      </c>
      <c r="I398" s="26" t="str">
        <f t="shared" si="13"/>
        <v>Y</v>
      </c>
    </row>
    <row r="399" spans="1:9" x14ac:dyDescent="0.15">
      <c r="A399" s="26">
        <f t="shared" si="12"/>
        <v>2449</v>
      </c>
      <c r="B399" s="27" t="s">
        <v>2202</v>
      </c>
      <c r="C399" s="26" t="s">
        <v>591</v>
      </c>
      <c r="D399" s="26">
        <v>1350</v>
      </c>
      <c r="E399" s="26">
        <v>-350</v>
      </c>
      <c r="F399" s="26">
        <v>27.45</v>
      </c>
      <c r="G399" s="26">
        <v>25.73</v>
      </c>
      <c r="I399" s="26" t="str">
        <f t="shared" si="13"/>
        <v>Y</v>
      </c>
    </row>
    <row r="400" spans="1:9" x14ac:dyDescent="0.15">
      <c r="A400" s="26">
        <f t="shared" si="12"/>
        <v>2450</v>
      </c>
      <c r="B400" s="27" t="s">
        <v>2203</v>
      </c>
      <c r="C400" s="26" t="s">
        <v>592</v>
      </c>
      <c r="D400" s="26">
        <v>-18</v>
      </c>
      <c r="E400" s="26">
        <v>0</v>
      </c>
      <c r="F400" s="26">
        <v>44.5</v>
      </c>
      <c r="G400" s="26">
        <v>43.81</v>
      </c>
      <c r="I400" s="26" t="str">
        <f t="shared" si="13"/>
        <v>Y</v>
      </c>
    </row>
    <row r="401" spans="1:9" x14ac:dyDescent="0.15">
      <c r="A401" s="26">
        <f t="shared" si="12"/>
        <v>2451</v>
      </c>
      <c r="B401" s="27" t="s">
        <v>2204</v>
      </c>
      <c r="C401" s="26" t="s">
        <v>593</v>
      </c>
      <c r="D401" s="26">
        <v>-104</v>
      </c>
      <c r="E401" s="26">
        <v>0</v>
      </c>
      <c r="F401" s="26">
        <v>101</v>
      </c>
      <c r="G401" s="26">
        <v>100.57</v>
      </c>
      <c r="I401" s="26" t="str">
        <f t="shared" si="13"/>
        <v>Y</v>
      </c>
    </row>
    <row r="402" spans="1:9" x14ac:dyDescent="0.15">
      <c r="A402" s="26">
        <f t="shared" si="12"/>
        <v>2453</v>
      </c>
      <c r="B402" s="27" t="s">
        <v>2205</v>
      </c>
      <c r="C402" s="26" t="s">
        <v>594</v>
      </c>
      <c r="D402" s="26">
        <v>-6</v>
      </c>
      <c r="E402" s="26">
        <v>0</v>
      </c>
      <c r="F402" s="26">
        <v>10.6</v>
      </c>
      <c r="G402" s="26">
        <v>10.48</v>
      </c>
      <c r="I402" s="26" t="str">
        <f t="shared" si="13"/>
        <v>Y</v>
      </c>
    </row>
    <row r="403" spans="1:9" x14ac:dyDescent="0.15">
      <c r="A403" s="26">
        <f t="shared" si="12"/>
        <v>2454</v>
      </c>
      <c r="B403" s="27" t="s">
        <v>2206</v>
      </c>
      <c r="C403" s="26" t="s">
        <v>595</v>
      </c>
      <c r="D403" s="26">
        <v>330</v>
      </c>
      <c r="E403" s="26">
        <v>16</v>
      </c>
      <c r="F403" s="26">
        <v>235</v>
      </c>
      <c r="G403" s="26">
        <v>231.63</v>
      </c>
      <c r="I403" s="26" t="str">
        <f t="shared" si="13"/>
        <v>Y</v>
      </c>
    </row>
    <row r="404" spans="1:9" x14ac:dyDescent="0.15">
      <c r="A404" s="26">
        <f t="shared" si="12"/>
        <v>2455</v>
      </c>
      <c r="B404" s="27" t="s">
        <v>2207</v>
      </c>
      <c r="C404" s="26" t="s">
        <v>596</v>
      </c>
      <c r="D404" s="26">
        <v>-462</v>
      </c>
      <c r="E404" s="26">
        <v>-190</v>
      </c>
      <c r="F404" s="26">
        <v>50.6</v>
      </c>
      <c r="G404" s="26">
        <v>51.26</v>
      </c>
      <c r="I404" s="26" t="str">
        <f t="shared" si="13"/>
        <v>-</v>
      </c>
    </row>
    <row r="405" spans="1:9" x14ac:dyDescent="0.15">
      <c r="A405" s="26">
        <f t="shared" si="12"/>
        <v>2456</v>
      </c>
      <c r="B405" s="27" t="s">
        <v>2208</v>
      </c>
      <c r="C405" s="26" t="s">
        <v>597</v>
      </c>
      <c r="D405" s="26">
        <v>34</v>
      </c>
      <c r="E405" s="26">
        <v>-684</v>
      </c>
      <c r="F405" s="26">
        <v>64.7</v>
      </c>
      <c r="G405" s="26">
        <v>66.97</v>
      </c>
      <c r="I405" s="26" t="str">
        <f t="shared" si="13"/>
        <v>-</v>
      </c>
    </row>
    <row r="406" spans="1:9" x14ac:dyDescent="0.15">
      <c r="A406" s="26">
        <f t="shared" si="12"/>
        <v>2457</v>
      </c>
      <c r="B406" s="27" t="s">
        <v>2209</v>
      </c>
      <c r="C406" s="26" t="s">
        <v>598</v>
      </c>
      <c r="D406" s="26">
        <v>-20</v>
      </c>
      <c r="E406" s="26">
        <v>0</v>
      </c>
      <c r="F406" s="26">
        <v>13.25</v>
      </c>
      <c r="G406" s="26">
        <v>12.98</v>
      </c>
      <c r="I406" s="26" t="str">
        <f t="shared" si="13"/>
        <v>Y</v>
      </c>
    </row>
    <row r="407" spans="1:9" x14ac:dyDescent="0.15">
      <c r="A407" s="26">
        <f t="shared" si="12"/>
        <v>2458</v>
      </c>
      <c r="B407" s="27" t="s">
        <v>2210</v>
      </c>
      <c r="C407" s="26" t="s">
        <v>599</v>
      </c>
      <c r="D407" s="26">
        <v>-72</v>
      </c>
      <c r="E407" s="26">
        <v>0</v>
      </c>
      <c r="F407" s="26">
        <v>42.2</v>
      </c>
      <c r="G407" s="26">
        <v>42.65</v>
      </c>
      <c r="I407" s="26" t="str">
        <f t="shared" si="13"/>
        <v>-</v>
      </c>
    </row>
    <row r="408" spans="1:9" x14ac:dyDescent="0.15">
      <c r="A408" s="26">
        <f t="shared" si="12"/>
        <v>2459</v>
      </c>
      <c r="B408" s="27" t="s">
        <v>2211</v>
      </c>
      <c r="C408" s="26" t="s">
        <v>600</v>
      </c>
      <c r="D408" s="26">
        <v>1</v>
      </c>
      <c r="E408" s="26">
        <v>0</v>
      </c>
      <c r="F408" s="26">
        <v>33.4</v>
      </c>
      <c r="G408" s="26">
        <v>33.35</v>
      </c>
      <c r="I408" s="26" t="str">
        <f t="shared" si="13"/>
        <v>Y</v>
      </c>
    </row>
    <row r="409" spans="1:9" x14ac:dyDescent="0.15">
      <c r="A409" s="26">
        <f t="shared" si="12"/>
        <v>2460</v>
      </c>
      <c r="B409" s="27" t="s">
        <v>2212</v>
      </c>
      <c r="C409" s="26" t="s">
        <v>601</v>
      </c>
      <c r="D409" s="26">
        <v>-2</v>
      </c>
      <c r="E409" s="26">
        <v>0</v>
      </c>
      <c r="F409" s="26">
        <v>10</v>
      </c>
      <c r="G409" s="26">
        <v>9.2799999999999994</v>
      </c>
      <c r="I409" s="26" t="str">
        <f t="shared" si="13"/>
        <v>Y</v>
      </c>
    </row>
    <row r="410" spans="1:9" x14ac:dyDescent="0.15">
      <c r="A410" s="26">
        <f t="shared" si="12"/>
        <v>2461</v>
      </c>
      <c r="B410" s="27" t="s">
        <v>2213</v>
      </c>
      <c r="C410" s="26" t="s">
        <v>602</v>
      </c>
      <c r="D410" s="26">
        <v>-51</v>
      </c>
      <c r="E410" s="26">
        <v>0</v>
      </c>
      <c r="F410" s="26">
        <v>15.05</v>
      </c>
      <c r="G410" s="26">
        <v>14.61</v>
      </c>
      <c r="I410" s="26" t="str">
        <f t="shared" si="13"/>
        <v>Y</v>
      </c>
    </row>
    <row r="411" spans="1:9" x14ac:dyDescent="0.15">
      <c r="A411" s="26">
        <f t="shared" si="12"/>
        <v>2462</v>
      </c>
      <c r="B411" s="27" t="s">
        <v>2214</v>
      </c>
      <c r="C411" s="26" t="s">
        <v>603</v>
      </c>
      <c r="D411" s="26">
        <v>6</v>
      </c>
      <c r="E411" s="26">
        <v>0</v>
      </c>
      <c r="F411" s="26">
        <v>17.75</v>
      </c>
      <c r="G411" s="26">
        <v>17.45</v>
      </c>
      <c r="I411" s="26" t="str">
        <f t="shared" si="13"/>
        <v>Y</v>
      </c>
    </row>
    <row r="412" spans="1:9" x14ac:dyDescent="0.15">
      <c r="A412" s="26">
        <f t="shared" si="12"/>
        <v>2464</v>
      </c>
      <c r="B412" s="27" t="s">
        <v>2215</v>
      </c>
      <c r="C412" s="26" t="s">
        <v>604</v>
      </c>
      <c r="D412" s="26">
        <v>2440</v>
      </c>
      <c r="E412" s="26">
        <v>0</v>
      </c>
      <c r="F412" s="26">
        <v>44</v>
      </c>
      <c r="G412" s="26">
        <v>39.299999999999997</v>
      </c>
      <c r="I412" s="26" t="str">
        <f t="shared" si="13"/>
        <v>Y</v>
      </c>
    </row>
    <row r="413" spans="1:9" x14ac:dyDescent="0.15">
      <c r="A413" s="26">
        <f t="shared" si="12"/>
        <v>2465</v>
      </c>
      <c r="B413" s="27" t="s">
        <v>2216</v>
      </c>
      <c r="C413" s="26" t="s">
        <v>605</v>
      </c>
      <c r="D413" s="26">
        <v>-1</v>
      </c>
      <c r="E413" s="26">
        <v>0</v>
      </c>
      <c r="F413" s="26">
        <v>10.35</v>
      </c>
      <c r="G413" s="26">
        <v>10.55</v>
      </c>
      <c r="I413" s="26" t="str">
        <f t="shared" si="13"/>
        <v>-</v>
      </c>
    </row>
    <row r="414" spans="1:9" x14ac:dyDescent="0.15">
      <c r="A414" s="26">
        <f t="shared" si="12"/>
        <v>2466</v>
      </c>
      <c r="B414" s="27" t="s">
        <v>2217</v>
      </c>
      <c r="C414" s="26" t="s">
        <v>606</v>
      </c>
      <c r="D414" s="26">
        <v>9</v>
      </c>
      <c r="E414" s="26">
        <v>0</v>
      </c>
      <c r="F414" s="26">
        <v>34.35</v>
      </c>
      <c r="G414" s="26">
        <v>34.130000000000003</v>
      </c>
      <c r="I414" s="26" t="str">
        <f t="shared" si="13"/>
        <v>Y</v>
      </c>
    </row>
    <row r="415" spans="1:9" x14ac:dyDescent="0.15">
      <c r="A415" s="26">
        <f t="shared" si="12"/>
        <v>2467</v>
      </c>
      <c r="B415" s="27" t="s">
        <v>2218</v>
      </c>
      <c r="C415" s="26" t="s">
        <v>607</v>
      </c>
      <c r="D415" s="26">
        <v>-26</v>
      </c>
      <c r="E415" s="26">
        <v>0</v>
      </c>
      <c r="F415" s="26">
        <v>15.1</v>
      </c>
      <c r="G415" s="26">
        <v>14.67</v>
      </c>
      <c r="I415" s="26" t="str">
        <f t="shared" si="13"/>
        <v>Y</v>
      </c>
    </row>
    <row r="416" spans="1:9" x14ac:dyDescent="0.15">
      <c r="A416" s="26">
        <f t="shared" si="12"/>
        <v>2468</v>
      </c>
      <c r="B416" s="27" t="s">
        <v>2219</v>
      </c>
      <c r="C416" s="26" t="s">
        <v>608</v>
      </c>
      <c r="D416" s="26">
        <v>0</v>
      </c>
      <c r="E416" s="26">
        <v>0</v>
      </c>
      <c r="F416" s="26">
        <v>10.4</v>
      </c>
      <c r="G416" s="26">
        <v>10.33</v>
      </c>
      <c r="I416" s="26" t="str">
        <f t="shared" si="13"/>
        <v>Y</v>
      </c>
    </row>
    <row r="417" spans="1:9" x14ac:dyDescent="0.15">
      <c r="A417" s="26">
        <f t="shared" si="12"/>
        <v>2471</v>
      </c>
      <c r="B417" s="27" t="s">
        <v>2220</v>
      </c>
      <c r="C417" s="26" t="s">
        <v>609</v>
      </c>
      <c r="D417" s="26">
        <v>0</v>
      </c>
      <c r="E417" s="26">
        <v>0</v>
      </c>
      <c r="F417" s="26">
        <v>13.45</v>
      </c>
      <c r="G417" s="26">
        <v>13.32</v>
      </c>
      <c r="I417" s="26" t="str">
        <f t="shared" si="13"/>
        <v>Y</v>
      </c>
    </row>
    <row r="418" spans="1:9" x14ac:dyDescent="0.15">
      <c r="A418" s="26">
        <f t="shared" si="12"/>
        <v>2472</v>
      </c>
      <c r="B418" s="27" t="s">
        <v>2221</v>
      </c>
      <c r="C418" s="26" t="s">
        <v>610</v>
      </c>
      <c r="D418" s="26">
        <v>706</v>
      </c>
      <c r="E418" s="26">
        <v>0</v>
      </c>
      <c r="F418" s="26">
        <v>38</v>
      </c>
      <c r="G418" s="26">
        <v>34.83</v>
      </c>
      <c r="I418" s="26" t="str">
        <f t="shared" si="13"/>
        <v>Y</v>
      </c>
    </row>
    <row r="419" spans="1:9" x14ac:dyDescent="0.15">
      <c r="A419" s="26">
        <f t="shared" si="12"/>
        <v>2474</v>
      </c>
      <c r="B419" s="27" t="s">
        <v>2222</v>
      </c>
      <c r="C419" s="26" t="s">
        <v>611</v>
      </c>
      <c r="D419" s="26">
        <v>931</v>
      </c>
      <c r="E419" s="26">
        <v>-312</v>
      </c>
      <c r="F419" s="26">
        <v>272.5</v>
      </c>
      <c r="G419" s="26">
        <v>261.54000000000002</v>
      </c>
      <c r="I419" s="26" t="str">
        <f t="shared" si="13"/>
        <v>Y</v>
      </c>
    </row>
    <row r="420" spans="1:9" x14ac:dyDescent="0.15">
      <c r="A420" s="26">
        <f t="shared" si="12"/>
        <v>2475</v>
      </c>
      <c r="B420" s="27" t="s">
        <v>2223</v>
      </c>
      <c r="C420" s="26" t="s">
        <v>612</v>
      </c>
      <c r="D420" s="26">
        <v>0</v>
      </c>
      <c r="E420" s="26">
        <v>0</v>
      </c>
      <c r="F420" s="26">
        <v>0.71</v>
      </c>
      <c r="G420" s="26">
        <v>0.72</v>
      </c>
      <c r="I420" s="26" t="str">
        <f t="shared" si="13"/>
        <v>-</v>
      </c>
    </row>
    <row r="421" spans="1:9" x14ac:dyDescent="0.15">
      <c r="A421" s="26">
        <f t="shared" si="12"/>
        <v>2476</v>
      </c>
      <c r="B421" s="27" t="s">
        <v>2224</v>
      </c>
      <c r="C421" s="26" t="s">
        <v>613</v>
      </c>
      <c r="D421" s="26">
        <v>3</v>
      </c>
      <c r="E421" s="26">
        <v>0</v>
      </c>
      <c r="F421" s="26">
        <v>24.3</v>
      </c>
      <c r="G421" s="26">
        <v>24.04</v>
      </c>
      <c r="I421" s="26" t="str">
        <f t="shared" si="13"/>
        <v>Y</v>
      </c>
    </row>
    <row r="422" spans="1:9" x14ac:dyDescent="0.15">
      <c r="A422" s="26">
        <f t="shared" si="12"/>
        <v>2477</v>
      </c>
      <c r="B422" s="27" t="s">
        <v>2225</v>
      </c>
      <c r="C422" s="26" t="s">
        <v>614</v>
      </c>
      <c r="D422" s="26">
        <v>33</v>
      </c>
      <c r="E422" s="26">
        <v>0</v>
      </c>
      <c r="F422" s="26">
        <v>12.7</v>
      </c>
      <c r="G422" s="26">
        <v>12.14</v>
      </c>
      <c r="I422" s="26" t="str">
        <f t="shared" si="13"/>
        <v>Y</v>
      </c>
    </row>
    <row r="423" spans="1:9" x14ac:dyDescent="0.15">
      <c r="A423" s="26">
        <f t="shared" si="12"/>
        <v>2478</v>
      </c>
      <c r="B423" s="27" t="s">
        <v>2226</v>
      </c>
      <c r="C423" s="26" t="s">
        <v>615</v>
      </c>
      <c r="D423" s="26">
        <v>-8</v>
      </c>
      <c r="E423" s="26">
        <v>0</v>
      </c>
      <c r="F423" s="26">
        <v>15.85</v>
      </c>
      <c r="G423" s="26">
        <v>14.94</v>
      </c>
      <c r="I423" s="26" t="str">
        <f t="shared" si="13"/>
        <v>Y</v>
      </c>
    </row>
    <row r="424" spans="1:9" x14ac:dyDescent="0.15">
      <c r="A424" s="26">
        <f t="shared" si="12"/>
        <v>2480</v>
      </c>
      <c r="B424" s="27" t="s">
        <v>2227</v>
      </c>
      <c r="C424" s="26" t="s">
        <v>616</v>
      </c>
      <c r="D424" s="26">
        <v>-43</v>
      </c>
      <c r="E424" s="26">
        <v>0</v>
      </c>
      <c r="F424" s="26">
        <v>26.9</v>
      </c>
      <c r="G424" s="26">
        <v>25.8</v>
      </c>
      <c r="I424" s="26" t="str">
        <f t="shared" si="13"/>
        <v>Y</v>
      </c>
    </row>
    <row r="425" spans="1:9" x14ac:dyDescent="0.15">
      <c r="A425" s="26">
        <f t="shared" si="12"/>
        <v>2481</v>
      </c>
      <c r="B425" s="27" t="s">
        <v>2228</v>
      </c>
      <c r="C425" s="26" t="s">
        <v>617</v>
      </c>
      <c r="D425" s="26">
        <v>-118</v>
      </c>
      <c r="E425" s="26">
        <v>1936</v>
      </c>
      <c r="F425" s="26">
        <v>17.25</v>
      </c>
      <c r="G425" s="26">
        <v>14.49</v>
      </c>
      <c r="I425" s="26" t="str">
        <f t="shared" si="13"/>
        <v>Y</v>
      </c>
    </row>
    <row r="426" spans="1:9" x14ac:dyDescent="0.15">
      <c r="A426" s="26">
        <f t="shared" si="12"/>
        <v>2482</v>
      </c>
      <c r="B426" s="27" t="s">
        <v>2229</v>
      </c>
      <c r="C426" s="26" t="s">
        <v>618</v>
      </c>
      <c r="D426" s="26">
        <v>41</v>
      </c>
      <c r="E426" s="26">
        <v>0</v>
      </c>
      <c r="F426" s="26">
        <v>13.15</v>
      </c>
      <c r="G426" s="26">
        <v>12.76</v>
      </c>
      <c r="I426" s="26" t="str">
        <f t="shared" si="13"/>
        <v>Y</v>
      </c>
    </row>
    <row r="427" spans="1:9" x14ac:dyDescent="0.15">
      <c r="A427" s="26">
        <f t="shared" si="12"/>
        <v>2483</v>
      </c>
      <c r="B427" s="27" t="s">
        <v>2230</v>
      </c>
      <c r="C427" s="26" t="s">
        <v>619</v>
      </c>
      <c r="D427" s="26">
        <v>15</v>
      </c>
      <c r="E427" s="26">
        <v>0</v>
      </c>
      <c r="F427" s="26">
        <v>19.2</v>
      </c>
      <c r="G427" s="26">
        <v>18.88</v>
      </c>
      <c r="I427" s="26" t="str">
        <f t="shared" si="13"/>
        <v>Y</v>
      </c>
    </row>
    <row r="428" spans="1:9" x14ac:dyDescent="0.15">
      <c r="A428" s="26">
        <f t="shared" si="12"/>
        <v>2484</v>
      </c>
      <c r="B428" s="27" t="s">
        <v>2231</v>
      </c>
      <c r="C428" s="26" t="s">
        <v>620</v>
      </c>
      <c r="D428" s="26">
        <v>-85</v>
      </c>
      <c r="E428" s="26">
        <v>0</v>
      </c>
      <c r="F428" s="26">
        <v>20.9</v>
      </c>
      <c r="G428" s="26">
        <v>20.46</v>
      </c>
      <c r="I428" s="26" t="str">
        <f t="shared" si="13"/>
        <v>Y</v>
      </c>
    </row>
    <row r="429" spans="1:9" x14ac:dyDescent="0.15">
      <c r="A429" s="26">
        <f t="shared" si="12"/>
        <v>2485</v>
      </c>
      <c r="B429" s="27" t="s">
        <v>2232</v>
      </c>
      <c r="C429" s="26" t="s">
        <v>621</v>
      </c>
      <c r="D429" s="26">
        <v>491</v>
      </c>
      <c r="E429" s="26">
        <v>-250</v>
      </c>
      <c r="F429" s="26">
        <v>61</v>
      </c>
      <c r="G429" s="26">
        <v>62.17</v>
      </c>
      <c r="I429" s="26" t="str">
        <f t="shared" si="13"/>
        <v>-</v>
      </c>
    </row>
    <row r="430" spans="1:9" x14ac:dyDescent="0.15">
      <c r="A430" s="26">
        <f t="shared" si="12"/>
        <v>2486</v>
      </c>
      <c r="B430" s="27" t="s">
        <v>2233</v>
      </c>
      <c r="C430" s="26" t="s">
        <v>622</v>
      </c>
      <c r="D430" s="26">
        <v>-21</v>
      </c>
      <c r="E430" s="26">
        <v>0</v>
      </c>
      <c r="F430" s="26">
        <v>10.25</v>
      </c>
      <c r="G430" s="26">
        <v>9.93</v>
      </c>
      <c r="I430" s="26" t="str">
        <f t="shared" si="13"/>
        <v>Y</v>
      </c>
    </row>
    <row r="431" spans="1:9" x14ac:dyDescent="0.15">
      <c r="A431" s="26">
        <f t="shared" si="12"/>
        <v>2488</v>
      </c>
      <c r="B431" s="27" t="s">
        <v>2234</v>
      </c>
      <c r="C431" s="26" t="s">
        <v>623</v>
      </c>
      <c r="D431" s="26">
        <v>36</v>
      </c>
      <c r="E431" s="26">
        <v>670</v>
      </c>
      <c r="F431" s="26">
        <v>33</v>
      </c>
      <c r="G431" s="26">
        <v>29.82</v>
      </c>
      <c r="I431" s="26" t="str">
        <f t="shared" si="13"/>
        <v>Y</v>
      </c>
    </row>
    <row r="432" spans="1:9" x14ac:dyDescent="0.15">
      <c r="A432" s="26">
        <f t="shared" si="12"/>
        <v>2489</v>
      </c>
      <c r="B432" s="27" t="s">
        <v>2235</v>
      </c>
      <c r="C432" s="26" t="s">
        <v>624</v>
      </c>
      <c r="D432" s="26">
        <v>51</v>
      </c>
      <c r="E432" s="26">
        <v>0</v>
      </c>
      <c r="F432" s="26">
        <v>16.399999999999999</v>
      </c>
      <c r="G432" s="26">
        <v>15.78</v>
      </c>
      <c r="I432" s="26" t="str">
        <f t="shared" si="13"/>
        <v>Y</v>
      </c>
    </row>
    <row r="433" spans="1:9" x14ac:dyDescent="0.15">
      <c r="A433" s="26">
        <f t="shared" si="12"/>
        <v>2491</v>
      </c>
      <c r="B433" s="27" t="s">
        <v>2236</v>
      </c>
      <c r="C433" s="26" t="s">
        <v>625</v>
      </c>
      <c r="D433" s="26">
        <v>0</v>
      </c>
      <c r="E433" s="26">
        <v>0</v>
      </c>
      <c r="F433" s="26">
        <v>7</v>
      </c>
      <c r="G433" s="26">
        <v>6.92</v>
      </c>
      <c r="I433" s="26" t="str">
        <f t="shared" si="13"/>
        <v>Y</v>
      </c>
    </row>
    <row r="434" spans="1:9" x14ac:dyDescent="0.15">
      <c r="A434" s="26">
        <f t="shared" si="12"/>
        <v>2492</v>
      </c>
      <c r="B434" s="27" t="s">
        <v>2237</v>
      </c>
      <c r="C434" s="26" t="s">
        <v>626</v>
      </c>
      <c r="D434" s="26">
        <v>-32</v>
      </c>
      <c r="E434" s="26">
        <v>439</v>
      </c>
      <c r="F434" s="26">
        <v>22.75</v>
      </c>
      <c r="G434" s="26">
        <v>20.75</v>
      </c>
      <c r="I434" s="26" t="str">
        <f t="shared" si="13"/>
        <v>Y</v>
      </c>
    </row>
    <row r="435" spans="1:9" x14ac:dyDescent="0.15">
      <c r="A435" s="26">
        <f t="shared" si="12"/>
        <v>2493</v>
      </c>
      <c r="B435" s="27" t="s">
        <v>2238</v>
      </c>
      <c r="C435" s="26" t="s">
        <v>627</v>
      </c>
      <c r="D435" s="26">
        <v>-11</v>
      </c>
      <c r="E435" s="26">
        <v>0</v>
      </c>
      <c r="F435" s="26">
        <v>23.8</v>
      </c>
      <c r="G435" s="26">
        <v>23.1</v>
      </c>
      <c r="I435" s="26" t="str">
        <f t="shared" si="13"/>
        <v>Y</v>
      </c>
    </row>
    <row r="436" spans="1:9" x14ac:dyDescent="0.15">
      <c r="A436" s="26">
        <f t="shared" si="12"/>
        <v>2495</v>
      </c>
      <c r="B436" s="27" t="s">
        <v>2239</v>
      </c>
      <c r="C436" s="26" t="s">
        <v>628</v>
      </c>
      <c r="D436" s="26">
        <v>-11</v>
      </c>
      <c r="E436" s="26">
        <v>0</v>
      </c>
      <c r="F436" s="26">
        <v>17.05</v>
      </c>
      <c r="G436" s="26">
        <v>16.95</v>
      </c>
      <c r="I436" s="26" t="str">
        <f t="shared" si="13"/>
        <v>Y</v>
      </c>
    </row>
    <row r="437" spans="1:9" x14ac:dyDescent="0.15">
      <c r="A437" s="26">
        <f t="shared" si="12"/>
        <v>2496</v>
      </c>
      <c r="B437" s="27" t="s">
        <v>2240</v>
      </c>
      <c r="C437" s="26" t="s">
        <v>629</v>
      </c>
      <c r="D437" s="26">
        <v>33</v>
      </c>
      <c r="E437" s="26">
        <v>0</v>
      </c>
      <c r="F437" s="26">
        <v>16.2</v>
      </c>
      <c r="G437" s="26">
        <v>15.91</v>
      </c>
      <c r="I437" s="26" t="str">
        <f t="shared" si="13"/>
        <v>Y</v>
      </c>
    </row>
    <row r="438" spans="1:9" x14ac:dyDescent="0.15">
      <c r="A438" s="26">
        <f t="shared" si="12"/>
        <v>2497</v>
      </c>
      <c r="B438" s="27" t="s">
        <v>2241</v>
      </c>
      <c r="C438" s="26" t="s">
        <v>630</v>
      </c>
      <c r="D438" s="26">
        <v>62</v>
      </c>
      <c r="E438" s="26">
        <v>0</v>
      </c>
      <c r="F438" s="26">
        <v>38.049999999999997</v>
      </c>
      <c r="G438" s="26">
        <v>38.31</v>
      </c>
      <c r="I438" s="26" t="str">
        <f t="shared" si="13"/>
        <v>-</v>
      </c>
    </row>
    <row r="439" spans="1:9" x14ac:dyDescent="0.15">
      <c r="A439" s="26">
        <f t="shared" si="12"/>
        <v>2498</v>
      </c>
      <c r="B439" s="27" t="s">
        <v>2242</v>
      </c>
      <c r="C439" s="26" t="s">
        <v>631</v>
      </c>
      <c r="D439" s="26">
        <v>8851</v>
      </c>
      <c r="E439" s="26">
        <v>30</v>
      </c>
      <c r="F439" s="26">
        <v>99</v>
      </c>
      <c r="G439" s="26">
        <v>82.28</v>
      </c>
      <c r="I439" s="26" t="str">
        <f t="shared" si="13"/>
        <v>Y</v>
      </c>
    </row>
    <row r="440" spans="1:9" x14ac:dyDescent="0.15">
      <c r="A440" s="26">
        <f t="shared" si="12"/>
        <v>2499</v>
      </c>
      <c r="B440" s="27" t="s">
        <v>2243</v>
      </c>
      <c r="C440" s="26" t="s">
        <v>632</v>
      </c>
      <c r="D440" s="26">
        <v>-19</v>
      </c>
      <c r="E440" s="26">
        <v>0</v>
      </c>
      <c r="F440" s="26">
        <v>18.850000000000001</v>
      </c>
      <c r="G440" s="26">
        <v>18.95</v>
      </c>
      <c r="I440" s="26" t="str">
        <f t="shared" si="13"/>
        <v>-</v>
      </c>
    </row>
    <row r="441" spans="1:9" x14ac:dyDescent="0.15">
      <c r="A441" s="26">
        <f t="shared" si="12"/>
        <v>2501</v>
      </c>
      <c r="B441" s="27" t="s">
        <v>2244</v>
      </c>
      <c r="C441" s="26" t="s">
        <v>633</v>
      </c>
      <c r="D441" s="26">
        <v>131</v>
      </c>
      <c r="E441" s="26">
        <v>-160</v>
      </c>
      <c r="F441" s="26">
        <v>14.4</v>
      </c>
      <c r="G441" s="26">
        <v>13.64</v>
      </c>
      <c r="I441" s="26" t="str">
        <f t="shared" si="13"/>
        <v>Y</v>
      </c>
    </row>
    <row r="442" spans="1:9" x14ac:dyDescent="0.15">
      <c r="A442" s="26">
        <f t="shared" si="12"/>
        <v>2504</v>
      </c>
      <c r="B442" s="27" t="s">
        <v>2245</v>
      </c>
      <c r="C442" s="26" t="s">
        <v>634</v>
      </c>
      <c r="D442" s="26">
        <v>28</v>
      </c>
      <c r="E442" s="26">
        <v>0</v>
      </c>
      <c r="F442" s="26">
        <v>9.23</v>
      </c>
      <c r="G442" s="26">
        <v>8.5</v>
      </c>
      <c r="I442" s="26" t="str">
        <f t="shared" si="13"/>
        <v>Y</v>
      </c>
    </row>
    <row r="443" spans="1:9" x14ac:dyDescent="0.15">
      <c r="A443" s="26">
        <f t="shared" si="12"/>
        <v>2505</v>
      </c>
      <c r="B443" s="27" t="s">
        <v>2246</v>
      </c>
      <c r="C443" s="26" t="s">
        <v>635</v>
      </c>
      <c r="D443" s="26">
        <v>84</v>
      </c>
      <c r="E443" s="26">
        <v>0</v>
      </c>
      <c r="F443" s="26">
        <v>11.2</v>
      </c>
      <c r="G443" s="26">
        <v>10.72</v>
      </c>
      <c r="I443" s="26" t="str">
        <f t="shared" si="13"/>
        <v>Y</v>
      </c>
    </row>
    <row r="444" spans="1:9" x14ac:dyDescent="0.15">
      <c r="A444" s="26">
        <f t="shared" si="12"/>
        <v>2506</v>
      </c>
      <c r="B444" s="27" t="s">
        <v>2247</v>
      </c>
      <c r="C444" s="26" t="s">
        <v>636</v>
      </c>
      <c r="D444" s="26">
        <v>14</v>
      </c>
      <c r="E444" s="26">
        <v>0</v>
      </c>
      <c r="F444" s="26">
        <v>14.95</v>
      </c>
      <c r="G444" s="26">
        <v>14.93</v>
      </c>
      <c r="I444" s="26" t="str">
        <f t="shared" si="13"/>
        <v>Y</v>
      </c>
    </row>
    <row r="445" spans="1:9" x14ac:dyDescent="0.15">
      <c r="A445" s="26">
        <f t="shared" si="12"/>
        <v>2509</v>
      </c>
      <c r="B445" s="27" t="s">
        <v>2248</v>
      </c>
      <c r="C445" s="26" t="s">
        <v>637</v>
      </c>
      <c r="D445" s="26">
        <v>-14</v>
      </c>
      <c r="E445" s="26">
        <v>0</v>
      </c>
      <c r="F445" s="26">
        <v>24</v>
      </c>
      <c r="G445" s="26">
        <v>22.27</v>
      </c>
      <c r="I445" s="26" t="str">
        <f t="shared" si="13"/>
        <v>Y</v>
      </c>
    </row>
    <row r="446" spans="1:9" x14ac:dyDescent="0.15">
      <c r="A446" s="26">
        <f t="shared" si="12"/>
        <v>2511</v>
      </c>
      <c r="B446" s="27" t="s">
        <v>2249</v>
      </c>
      <c r="C446" s="26" t="s">
        <v>638</v>
      </c>
      <c r="D446" s="26">
        <v>184</v>
      </c>
      <c r="E446" s="26">
        <v>0</v>
      </c>
      <c r="F446" s="26">
        <v>10.15</v>
      </c>
      <c r="G446" s="26">
        <v>9.5500000000000007</v>
      </c>
      <c r="I446" s="26" t="str">
        <f t="shared" si="13"/>
        <v>Y</v>
      </c>
    </row>
    <row r="447" spans="1:9" x14ac:dyDescent="0.15">
      <c r="A447" s="26">
        <f t="shared" si="12"/>
        <v>2514</v>
      </c>
      <c r="B447" s="27" t="s">
        <v>2250</v>
      </c>
      <c r="C447" s="26" t="s">
        <v>639</v>
      </c>
      <c r="D447" s="26">
        <v>-33</v>
      </c>
      <c r="E447" s="26">
        <v>0</v>
      </c>
      <c r="F447" s="26">
        <v>19.2</v>
      </c>
      <c r="G447" s="26">
        <v>19.07</v>
      </c>
      <c r="I447" s="26" t="str">
        <f t="shared" si="13"/>
        <v>Y</v>
      </c>
    </row>
    <row r="448" spans="1:9" x14ac:dyDescent="0.15">
      <c r="A448" s="26">
        <f t="shared" si="12"/>
        <v>2515</v>
      </c>
      <c r="B448" s="27" t="s">
        <v>2251</v>
      </c>
      <c r="C448" s="26" t="s">
        <v>640</v>
      </c>
      <c r="D448" s="26">
        <v>-130</v>
      </c>
      <c r="E448" s="26">
        <v>0</v>
      </c>
      <c r="F448" s="26">
        <v>6.65</v>
      </c>
      <c r="G448" s="26">
        <v>6.33</v>
      </c>
      <c r="I448" s="26" t="str">
        <f t="shared" si="13"/>
        <v>Y</v>
      </c>
    </row>
    <row r="449" spans="1:9" x14ac:dyDescent="0.15">
      <c r="A449" s="26">
        <f t="shared" si="12"/>
        <v>2516</v>
      </c>
      <c r="B449" s="27" t="s">
        <v>2252</v>
      </c>
      <c r="C449" s="26" t="s">
        <v>641</v>
      </c>
      <c r="D449" s="26">
        <v>4</v>
      </c>
      <c r="E449" s="26">
        <v>0</v>
      </c>
      <c r="F449" s="26">
        <v>6.64</v>
      </c>
      <c r="G449" s="26">
        <v>6.45</v>
      </c>
      <c r="I449" s="26" t="str">
        <f t="shared" si="13"/>
        <v>Y</v>
      </c>
    </row>
    <row r="450" spans="1:9" x14ac:dyDescent="0.15">
      <c r="A450" s="26">
        <f t="shared" si="12"/>
        <v>2520</v>
      </c>
      <c r="B450" s="27" t="s">
        <v>2253</v>
      </c>
      <c r="C450" s="26" t="s">
        <v>642</v>
      </c>
      <c r="D450" s="26">
        <v>347</v>
      </c>
      <c r="E450" s="26">
        <v>0</v>
      </c>
      <c r="F450" s="26">
        <v>17.399999999999999</v>
      </c>
      <c r="G450" s="26">
        <v>15.49</v>
      </c>
      <c r="I450" s="26" t="str">
        <f t="shared" si="13"/>
        <v>Y</v>
      </c>
    </row>
    <row r="451" spans="1:9" x14ac:dyDescent="0.15">
      <c r="A451" s="26">
        <f t="shared" si="12"/>
        <v>2524</v>
      </c>
      <c r="B451" s="27" t="s">
        <v>2254</v>
      </c>
      <c r="C451" s="26" t="s">
        <v>643</v>
      </c>
      <c r="D451" s="26">
        <v>-45</v>
      </c>
      <c r="E451" s="26">
        <v>0</v>
      </c>
      <c r="F451" s="26">
        <v>18.55</v>
      </c>
      <c r="G451" s="26">
        <v>18.13</v>
      </c>
      <c r="I451" s="26" t="str">
        <f t="shared" si="13"/>
        <v>Y</v>
      </c>
    </row>
    <row r="452" spans="1:9" x14ac:dyDescent="0.15">
      <c r="A452" s="26">
        <f t="shared" si="12"/>
        <v>2527</v>
      </c>
      <c r="B452" s="27" t="s">
        <v>2255</v>
      </c>
      <c r="C452" s="26" t="s">
        <v>644</v>
      </c>
      <c r="D452" s="26">
        <v>-9</v>
      </c>
      <c r="E452" s="26">
        <v>0</v>
      </c>
      <c r="F452" s="26">
        <v>17.600000000000001</v>
      </c>
      <c r="G452" s="26">
        <v>16.34</v>
      </c>
      <c r="I452" s="26" t="str">
        <f t="shared" si="13"/>
        <v>Y</v>
      </c>
    </row>
    <row r="453" spans="1:9" x14ac:dyDescent="0.15">
      <c r="A453" s="26">
        <f t="shared" si="12"/>
        <v>2528</v>
      </c>
      <c r="B453" s="27" t="s">
        <v>2256</v>
      </c>
      <c r="C453" s="26" t="s">
        <v>645</v>
      </c>
      <c r="D453" s="26">
        <v>0</v>
      </c>
      <c r="E453" s="26">
        <v>0</v>
      </c>
      <c r="F453" s="26">
        <v>6.66</v>
      </c>
      <c r="G453" s="26">
        <v>6.64</v>
      </c>
      <c r="I453" s="26" t="str">
        <f t="shared" si="13"/>
        <v>Y</v>
      </c>
    </row>
    <row r="454" spans="1:9" x14ac:dyDescent="0.15">
      <c r="A454" s="26">
        <f t="shared" si="12"/>
        <v>2530</v>
      </c>
      <c r="B454" s="27" t="s">
        <v>2257</v>
      </c>
      <c r="C454" s="26" t="s">
        <v>646</v>
      </c>
      <c r="D454" s="26">
        <v>265</v>
      </c>
      <c r="E454" s="26">
        <v>0</v>
      </c>
      <c r="F454" s="26">
        <v>18.75</v>
      </c>
      <c r="G454" s="26">
        <v>16.91</v>
      </c>
      <c r="I454" s="26" t="str">
        <f t="shared" si="13"/>
        <v>Y</v>
      </c>
    </row>
    <row r="455" spans="1:9" x14ac:dyDescent="0.15">
      <c r="A455" s="26">
        <f t="shared" ref="A455:A518" si="14">VALUE(B455)</f>
        <v>2534</v>
      </c>
      <c r="B455" s="27" t="s">
        <v>2258</v>
      </c>
      <c r="C455" s="26" t="s">
        <v>647</v>
      </c>
      <c r="D455" s="26">
        <v>-9</v>
      </c>
      <c r="E455" s="26">
        <v>0</v>
      </c>
      <c r="F455" s="26">
        <v>15.7</v>
      </c>
      <c r="G455" s="26">
        <v>14.75</v>
      </c>
      <c r="I455" s="26" t="str">
        <f t="shared" ref="I455:I518" si="15">IF(F455&gt;G455,"Y","-")</f>
        <v>Y</v>
      </c>
    </row>
    <row r="456" spans="1:9" x14ac:dyDescent="0.15">
      <c r="A456" s="26">
        <f t="shared" si="14"/>
        <v>2535</v>
      </c>
      <c r="B456" s="27" t="s">
        <v>2259</v>
      </c>
      <c r="C456" s="26" t="s">
        <v>648</v>
      </c>
      <c r="D456" s="26">
        <v>26</v>
      </c>
      <c r="E456" s="26">
        <v>0</v>
      </c>
      <c r="F456" s="26">
        <v>16.600000000000001</v>
      </c>
      <c r="G456" s="26">
        <v>15.84</v>
      </c>
      <c r="I456" s="26" t="str">
        <f t="shared" si="15"/>
        <v>Y</v>
      </c>
    </row>
    <row r="457" spans="1:9" x14ac:dyDescent="0.15">
      <c r="A457" s="26">
        <f t="shared" si="14"/>
        <v>2536</v>
      </c>
      <c r="B457" s="27" t="s">
        <v>2260</v>
      </c>
      <c r="C457" s="26" t="s">
        <v>649</v>
      </c>
      <c r="D457" s="26">
        <v>-9</v>
      </c>
      <c r="E457" s="26">
        <v>0</v>
      </c>
      <c r="F457" s="26">
        <v>23.6</v>
      </c>
      <c r="G457" s="26">
        <v>22.43</v>
      </c>
      <c r="I457" s="26" t="str">
        <f t="shared" si="15"/>
        <v>Y</v>
      </c>
    </row>
    <row r="458" spans="1:9" x14ac:dyDescent="0.15">
      <c r="A458" s="26">
        <f t="shared" si="14"/>
        <v>2537</v>
      </c>
      <c r="B458" s="27" t="s">
        <v>2261</v>
      </c>
      <c r="C458" s="26" t="s">
        <v>650</v>
      </c>
      <c r="D458" s="26">
        <v>90</v>
      </c>
      <c r="E458" s="26">
        <v>0</v>
      </c>
      <c r="F458" s="26">
        <v>9.5</v>
      </c>
      <c r="G458" s="26">
        <v>8.58</v>
      </c>
      <c r="I458" s="26" t="str">
        <f t="shared" si="15"/>
        <v>Y</v>
      </c>
    </row>
    <row r="459" spans="1:9" x14ac:dyDescent="0.15">
      <c r="A459" s="26">
        <f t="shared" si="14"/>
        <v>2538</v>
      </c>
      <c r="B459" s="27" t="s">
        <v>2262</v>
      </c>
      <c r="C459" s="26" t="s">
        <v>651</v>
      </c>
      <c r="D459" s="26">
        <v>98</v>
      </c>
      <c r="E459" s="26">
        <v>0</v>
      </c>
      <c r="F459" s="26">
        <v>16.350000000000001</v>
      </c>
      <c r="G459" s="26">
        <v>15.03</v>
      </c>
      <c r="I459" s="26" t="str">
        <f t="shared" si="15"/>
        <v>Y</v>
      </c>
    </row>
    <row r="460" spans="1:9" x14ac:dyDescent="0.15">
      <c r="A460" s="26">
        <f t="shared" si="14"/>
        <v>2539</v>
      </c>
      <c r="B460" s="27" t="s">
        <v>2263</v>
      </c>
      <c r="C460" s="26" t="s">
        <v>652</v>
      </c>
      <c r="D460" s="26">
        <v>-11</v>
      </c>
      <c r="E460" s="26">
        <v>0</v>
      </c>
      <c r="F460" s="26">
        <v>25</v>
      </c>
      <c r="G460" s="26">
        <v>24.75</v>
      </c>
      <c r="I460" s="26" t="str">
        <f t="shared" si="15"/>
        <v>Y</v>
      </c>
    </row>
    <row r="461" spans="1:9" x14ac:dyDescent="0.15">
      <c r="A461" s="26">
        <f t="shared" si="14"/>
        <v>2540</v>
      </c>
      <c r="B461" s="27" t="s">
        <v>2264</v>
      </c>
      <c r="C461" s="26" t="s">
        <v>653</v>
      </c>
      <c r="D461" s="26">
        <v>-3</v>
      </c>
      <c r="E461" s="26">
        <v>0</v>
      </c>
      <c r="F461" s="26">
        <v>28.5</v>
      </c>
      <c r="G461" s="26">
        <v>28.77</v>
      </c>
      <c r="I461" s="26" t="str">
        <f t="shared" si="15"/>
        <v>-</v>
      </c>
    </row>
    <row r="462" spans="1:9" x14ac:dyDescent="0.15">
      <c r="A462" s="26">
        <f t="shared" si="14"/>
        <v>2542</v>
      </c>
      <c r="B462" s="27" t="s">
        <v>2265</v>
      </c>
      <c r="C462" s="26" t="s">
        <v>654</v>
      </c>
      <c r="D462" s="26">
        <v>664</v>
      </c>
      <c r="E462" s="26">
        <v>700</v>
      </c>
      <c r="F462" s="26">
        <v>39.6</v>
      </c>
      <c r="G462" s="26">
        <v>34.39</v>
      </c>
      <c r="I462" s="26" t="str">
        <f t="shared" si="15"/>
        <v>Y</v>
      </c>
    </row>
    <row r="463" spans="1:9" x14ac:dyDescent="0.15">
      <c r="A463" s="26">
        <f t="shared" si="14"/>
        <v>2543</v>
      </c>
      <c r="B463" s="27" t="s">
        <v>2266</v>
      </c>
      <c r="C463" s="26" t="s">
        <v>655</v>
      </c>
      <c r="D463" s="26">
        <v>-5</v>
      </c>
      <c r="E463" s="26">
        <v>0</v>
      </c>
      <c r="F463" s="26">
        <v>8.3000000000000007</v>
      </c>
      <c r="G463" s="26">
        <v>8.2100000000000009</v>
      </c>
      <c r="I463" s="26" t="str">
        <f t="shared" si="15"/>
        <v>Y</v>
      </c>
    </row>
    <row r="464" spans="1:9" x14ac:dyDescent="0.15">
      <c r="A464" s="26">
        <f t="shared" si="14"/>
        <v>2545</v>
      </c>
      <c r="B464" s="27" t="s">
        <v>2267</v>
      </c>
      <c r="C464" s="26" t="s">
        <v>656</v>
      </c>
      <c r="D464" s="26">
        <v>300</v>
      </c>
      <c r="E464" s="26">
        <v>0</v>
      </c>
      <c r="F464" s="26">
        <v>32.299999999999997</v>
      </c>
      <c r="G464" s="26">
        <v>26.39</v>
      </c>
      <c r="I464" s="26" t="str">
        <f t="shared" si="15"/>
        <v>Y</v>
      </c>
    </row>
    <row r="465" spans="1:9" x14ac:dyDescent="0.15">
      <c r="A465" s="26">
        <f t="shared" si="14"/>
        <v>2546</v>
      </c>
      <c r="B465" s="27" t="s">
        <v>2268</v>
      </c>
      <c r="C465" s="26" t="s">
        <v>657</v>
      </c>
      <c r="D465" s="26">
        <v>5</v>
      </c>
      <c r="E465" s="26">
        <v>0</v>
      </c>
      <c r="F465" s="26">
        <v>16.600000000000001</v>
      </c>
      <c r="G465" s="26">
        <v>15.84</v>
      </c>
      <c r="I465" s="26" t="str">
        <f t="shared" si="15"/>
        <v>Y</v>
      </c>
    </row>
    <row r="466" spans="1:9" x14ac:dyDescent="0.15">
      <c r="A466" s="26">
        <f t="shared" si="14"/>
        <v>2547</v>
      </c>
      <c r="B466" s="27" t="s">
        <v>2269</v>
      </c>
      <c r="C466" s="26" t="s">
        <v>658</v>
      </c>
      <c r="D466" s="26">
        <v>295</v>
      </c>
      <c r="E466" s="26">
        <v>0</v>
      </c>
      <c r="F466" s="26">
        <v>11.2</v>
      </c>
      <c r="G466" s="26">
        <v>10.53</v>
      </c>
      <c r="I466" s="26" t="str">
        <f t="shared" si="15"/>
        <v>Y</v>
      </c>
    </row>
    <row r="467" spans="1:9" x14ac:dyDescent="0.15">
      <c r="A467" s="26">
        <f t="shared" si="14"/>
        <v>2548</v>
      </c>
      <c r="B467" s="27" t="s">
        <v>2270</v>
      </c>
      <c r="C467" s="26" t="s">
        <v>659</v>
      </c>
      <c r="D467" s="26">
        <v>-153</v>
      </c>
      <c r="E467" s="26">
        <v>-500</v>
      </c>
      <c r="F467" s="26">
        <v>58.8</v>
      </c>
      <c r="G467" s="26">
        <v>53.64</v>
      </c>
      <c r="I467" s="26" t="str">
        <f t="shared" si="15"/>
        <v>Y</v>
      </c>
    </row>
    <row r="468" spans="1:9" x14ac:dyDescent="0.15">
      <c r="A468" s="26">
        <f t="shared" si="14"/>
        <v>2596</v>
      </c>
      <c r="B468" s="27" t="s">
        <v>2271</v>
      </c>
      <c r="C468" s="26" t="s">
        <v>660</v>
      </c>
      <c r="D468" s="26">
        <v>-4</v>
      </c>
      <c r="E468" s="26">
        <v>0</v>
      </c>
      <c r="F468" s="26">
        <v>13.5</v>
      </c>
      <c r="G468" s="26">
        <v>12.88</v>
      </c>
      <c r="I468" s="26" t="str">
        <f t="shared" si="15"/>
        <v>Y</v>
      </c>
    </row>
    <row r="469" spans="1:9" x14ac:dyDescent="0.15">
      <c r="A469" s="26">
        <f t="shared" si="14"/>
        <v>2597</v>
      </c>
      <c r="B469" s="27" t="s">
        <v>2272</v>
      </c>
      <c r="C469" s="26" t="s">
        <v>661</v>
      </c>
      <c r="D469" s="26">
        <v>11</v>
      </c>
      <c r="E469" s="26">
        <v>0</v>
      </c>
      <c r="F469" s="26">
        <v>48.3</v>
      </c>
      <c r="G469" s="26">
        <v>43.45</v>
      </c>
      <c r="I469" s="26" t="str">
        <f t="shared" si="15"/>
        <v>Y</v>
      </c>
    </row>
    <row r="470" spans="1:9" x14ac:dyDescent="0.15">
      <c r="A470" s="26">
        <f t="shared" si="14"/>
        <v>2601</v>
      </c>
      <c r="B470" s="27" t="s">
        <v>2273</v>
      </c>
      <c r="C470" s="26" t="s">
        <v>662</v>
      </c>
      <c r="D470" s="26">
        <v>-935</v>
      </c>
      <c r="E470" s="26">
        <v>0</v>
      </c>
      <c r="F470" s="26">
        <v>9.34</v>
      </c>
      <c r="G470" s="26">
        <v>9.18</v>
      </c>
      <c r="I470" s="26" t="str">
        <f t="shared" si="15"/>
        <v>Y</v>
      </c>
    </row>
    <row r="471" spans="1:9" x14ac:dyDescent="0.15">
      <c r="A471" s="26">
        <f t="shared" si="14"/>
        <v>2603</v>
      </c>
      <c r="B471" s="27" t="s">
        <v>2274</v>
      </c>
      <c r="C471" s="26" t="s">
        <v>663</v>
      </c>
      <c r="D471" s="26">
        <v>3575</v>
      </c>
      <c r="E471" s="26">
        <v>468</v>
      </c>
      <c r="F471" s="26">
        <v>13.35</v>
      </c>
      <c r="G471" s="26">
        <v>12.39</v>
      </c>
      <c r="I471" s="26" t="str">
        <f t="shared" si="15"/>
        <v>Y</v>
      </c>
    </row>
    <row r="472" spans="1:9" x14ac:dyDescent="0.15">
      <c r="A472" s="26">
        <f t="shared" si="14"/>
        <v>2605</v>
      </c>
      <c r="B472" s="27" t="s">
        <v>2275</v>
      </c>
      <c r="C472" s="26" t="s">
        <v>664</v>
      </c>
      <c r="D472" s="26">
        <v>12</v>
      </c>
      <c r="E472" s="26">
        <v>0</v>
      </c>
      <c r="F472" s="26">
        <v>22.25</v>
      </c>
      <c r="G472" s="26">
        <v>20.76</v>
      </c>
      <c r="I472" s="26" t="str">
        <f t="shared" si="15"/>
        <v>Y</v>
      </c>
    </row>
    <row r="473" spans="1:9" x14ac:dyDescent="0.15">
      <c r="A473" s="26">
        <f t="shared" si="14"/>
        <v>2606</v>
      </c>
      <c r="B473" s="27" t="s">
        <v>2276</v>
      </c>
      <c r="C473" s="26" t="s">
        <v>665</v>
      </c>
      <c r="D473" s="26">
        <v>-207</v>
      </c>
      <c r="E473" s="26">
        <v>0</v>
      </c>
      <c r="F473" s="26">
        <v>30</v>
      </c>
      <c r="G473" s="26">
        <v>27.34</v>
      </c>
      <c r="I473" s="26" t="str">
        <f t="shared" si="15"/>
        <v>Y</v>
      </c>
    </row>
    <row r="474" spans="1:9" x14ac:dyDescent="0.15">
      <c r="A474" s="26">
        <f t="shared" si="14"/>
        <v>2607</v>
      </c>
      <c r="B474" s="27" t="s">
        <v>2277</v>
      </c>
      <c r="C474" s="26" t="s">
        <v>666</v>
      </c>
      <c r="D474" s="26">
        <v>-42</v>
      </c>
      <c r="E474" s="26">
        <v>0</v>
      </c>
      <c r="F474" s="26">
        <v>13.7</v>
      </c>
      <c r="G474" s="26">
        <v>13.38</v>
      </c>
      <c r="I474" s="26" t="str">
        <f t="shared" si="15"/>
        <v>Y</v>
      </c>
    </row>
    <row r="475" spans="1:9" x14ac:dyDescent="0.15">
      <c r="A475" s="26">
        <f t="shared" si="14"/>
        <v>2608</v>
      </c>
      <c r="B475" s="27" t="s">
        <v>2278</v>
      </c>
      <c r="C475" s="26" t="s">
        <v>667</v>
      </c>
      <c r="D475" s="26">
        <v>-43</v>
      </c>
      <c r="E475" s="26">
        <v>0</v>
      </c>
      <c r="F475" s="26">
        <v>38.700000000000003</v>
      </c>
      <c r="G475" s="26">
        <v>38.409999999999997</v>
      </c>
      <c r="I475" s="26" t="str">
        <f t="shared" si="15"/>
        <v>Y</v>
      </c>
    </row>
    <row r="476" spans="1:9" x14ac:dyDescent="0.15">
      <c r="A476" s="26">
        <f t="shared" si="14"/>
        <v>2609</v>
      </c>
      <c r="B476" s="27" t="s">
        <v>2279</v>
      </c>
      <c r="C476" s="26" t="s">
        <v>668</v>
      </c>
      <c r="D476" s="26">
        <v>1089</v>
      </c>
      <c r="E476" s="26">
        <v>0</v>
      </c>
      <c r="F476" s="26">
        <v>9.19</v>
      </c>
      <c r="G476" s="26">
        <v>8.69</v>
      </c>
      <c r="I476" s="26" t="str">
        <f t="shared" si="15"/>
        <v>Y</v>
      </c>
    </row>
    <row r="477" spans="1:9" x14ac:dyDescent="0.15">
      <c r="A477" s="26">
        <f t="shared" si="14"/>
        <v>2610</v>
      </c>
      <c r="B477" s="27" t="s">
        <v>2280</v>
      </c>
      <c r="C477" s="26" t="s">
        <v>669</v>
      </c>
      <c r="D477" s="26">
        <v>2124</v>
      </c>
      <c r="E477" s="26">
        <v>0</v>
      </c>
      <c r="F477" s="26">
        <v>11.65</v>
      </c>
      <c r="G477" s="26">
        <v>11.5</v>
      </c>
      <c r="I477" s="26" t="str">
        <f t="shared" si="15"/>
        <v>Y</v>
      </c>
    </row>
    <row r="478" spans="1:9" x14ac:dyDescent="0.15">
      <c r="A478" s="26">
        <f t="shared" si="14"/>
        <v>2611</v>
      </c>
      <c r="B478" s="27" t="s">
        <v>2281</v>
      </c>
      <c r="C478" s="26" t="s">
        <v>670</v>
      </c>
      <c r="D478" s="26">
        <v>-3</v>
      </c>
      <c r="E478" s="26">
        <v>0</v>
      </c>
      <c r="F478" s="26">
        <v>7.74</v>
      </c>
      <c r="G478" s="26">
        <v>7.52</v>
      </c>
      <c r="I478" s="26" t="str">
        <f t="shared" si="15"/>
        <v>Y</v>
      </c>
    </row>
    <row r="479" spans="1:9" x14ac:dyDescent="0.15">
      <c r="A479" s="26">
        <f t="shared" si="14"/>
        <v>2612</v>
      </c>
      <c r="B479" s="27" t="s">
        <v>2282</v>
      </c>
      <c r="C479" s="26" t="s">
        <v>671</v>
      </c>
      <c r="D479" s="26">
        <v>39</v>
      </c>
      <c r="E479" s="26">
        <v>0</v>
      </c>
      <c r="F479" s="26">
        <v>27.45</v>
      </c>
      <c r="G479" s="26">
        <v>24.13</v>
      </c>
      <c r="I479" s="26" t="str">
        <f t="shared" si="15"/>
        <v>Y</v>
      </c>
    </row>
    <row r="480" spans="1:9" x14ac:dyDescent="0.15">
      <c r="A480" s="26">
        <f t="shared" si="14"/>
        <v>2613</v>
      </c>
      <c r="B480" s="27" t="s">
        <v>2283</v>
      </c>
      <c r="C480" s="26" t="s">
        <v>672</v>
      </c>
      <c r="D480" s="26">
        <v>-1</v>
      </c>
      <c r="E480" s="26">
        <v>0</v>
      </c>
      <c r="F480" s="26">
        <v>13.3</v>
      </c>
      <c r="G480" s="26">
        <v>12.89</v>
      </c>
      <c r="I480" s="26" t="str">
        <f t="shared" si="15"/>
        <v>Y</v>
      </c>
    </row>
    <row r="481" spans="1:9" x14ac:dyDescent="0.15">
      <c r="A481" s="26">
        <f t="shared" si="14"/>
        <v>2614</v>
      </c>
      <c r="B481" s="27" t="s">
        <v>2284</v>
      </c>
      <c r="C481" s="26" t="s">
        <v>673</v>
      </c>
      <c r="D481" s="26">
        <v>148</v>
      </c>
      <c r="E481" s="26">
        <v>0</v>
      </c>
      <c r="F481" s="26">
        <v>7.01</v>
      </c>
      <c r="G481" s="26">
        <v>6.9</v>
      </c>
      <c r="I481" s="26" t="str">
        <f t="shared" si="15"/>
        <v>Y</v>
      </c>
    </row>
    <row r="482" spans="1:9" x14ac:dyDescent="0.15">
      <c r="A482" s="26">
        <f t="shared" si="14"/>
        <v>2615</v>
      </c>
      <c r="B482" s="27" t="s">
        <v>2285</v>
      </c>
      <c r="C482" s="26" t="s">
        <v>674</v>
      </c>
      <c r="D482" s="26">
        <v>-1023</v>
      </c>
      <c r="E482" s="26">
        <v>0</v>
      </c>
      <c r="F482" s="26">
        <v>20</v>
      </c>
      <c r="G482" s="26">
        <v>18.88</v>
      </c>
      <c r="I482" s="26" t="str">
        <f t="shared" si="15"/>
        <v>Y</v>
      </c>
    </row>
    <row r="483" spans="1:9" x14ac:dyDescent="0.15">
      <c r="A483" s="26">
        <f t="shared" si="14"/>
        <v>2616</v>
      </c>
      <c r="B483" s="27" t="s">
        <v>2286</v>
      </c>
      <c r="C483" s="26" t="s">
        <v>675</v>
      </c>
      <c r="D483" s="26">
        <v>-6</v>
      </c>
      <c r="E483" s="26">
        <v>20</v>
      </c>
      <c r="F483" s="26">
        <v>23.85</v>
      </c>
      <c r="G483" s="26">
        <v>23.74</v>
      </c>
      <c r="I483" s="26" t="str">
        <f t="shared" si="15"/>
        <v>Y</v>
      </c>
    </row>
    <row r="484" spans="1:9" x14ac:dyDescent="0.15">
      <c r="A484" s="26">
        <f t="shared" si="14"/>
        <v>2617</v>
      </c>
      <c r="B484" s="27" t="s">
        <v>2287</v>
      </c>
      <c r="C484" s="26" t="s">
        <v>676</v>
      </c>
      <c r="D484" s="26">
        <v>-68</v>
      </c>
      <c r="E484" s="26">
        <v>0</v>
      </c>
      <c r="F484" s="26">
        <v>14.75</v>
      </c>
      <c r="G484" s="26">
        <v>14.1</v>
      </c>
      <c r="I484" s="26" t="str">
        <f t="shared" si="15"/>
        <v>Y</v>
      </c>
    </row>
    <row r="485" spans="1:9" x14ac:dyDescent="0.15">
      <c r="A485" s="26">
        <f t="shared" si="14"/>
        <v>2618</v>
      </c>
      <c r="B485" s="27" t="s">
        <v>2288</v>
      </c>
      <c r="C485" s="26" t="s">
        <v>677</v>
      </c>
      <c r="D485" s="26">
        <v>1440</v>
      </c>
      <c r="E485" s="26">
        <v>-405</v>
      </c>
      <c r="F485" s="26">
        <v>18</v>
      </c>
      <c r="G485" s="26">
        <v>17.86</v>
      </c>
      <c r="I485" s="26" t="str">
        <f t="shared" si="15"/>
        <v>Y</v>
      </c>
    </row>
    <row r="486" spans="1:9" x14ac:dyDescent="0.15">
      <c r="A486" s="26">
        <f t="shared" si="14"/>
        <v>2634</v>
      </c>
      <c r="B486" s="27" t="s">
        <v>2289</v>
      </c>
      <c r="C486" s="26" t="s">
        <v>678</v>
      </c>
      <c r="D486" s="26">
        <v>-186</v>
      </c>
      <c r="E486" s="26">
        <v>-34</v>
      </c>
      <c r="F486" s="26">
        <v>38.9</v>
      </c>
      <c r="G486" s="26">
        <v>38.979999999999997</v>
      </c>
      <c r="I486" s="26" t="str">
        <f t="shared" si="15"/>
        <v>-</v>
      </c>
    </row>
    <row r="487" spans="1:9" x14ac:dyDescent="0.15">
      <c r="A487" s="26">
        <f t="shared" si="14"/>
        <v>2636</v>
      </c>
      <c r="B487" s="27" t="s">
        <v>2290</v>
      </c>
      <c r="C487" s="26" t="s">
        <v>679</v>
      </c>
      <c r="D487" s="26">
        <v>-23</v>
      </c>
      <c r="E487" s="26">
        <v>0</v>
      </c>
      <c r="F487" s="26">
        <v>29.25</v>
      </c>
      <c r="G487" s="26">
        <v>28.38</v>
      </c>
      <c r="I487" s="26" t="str">
        <f t="shared" si="15"/>
        <v>Y</v>
      </c>
    </row>
    <row r="488" spans="1:9" x14ac:dyDescent="0.15">
      <c r="A488" s="26">
        <f t="shared" si="14"/>
        <v>2637</v>
      </c>
      <c r="B488" s="27" t="s">
        <v>2291</v>
      </c>
      <c r="C488" s="26" t="s">
        <v>680</v>
      </c>
      <c r="D488" s="26">
        <v>62</v>
      </c>
      <c r="E488" s="26">
        <v>0</v>
      </c>
      <c r="F488" s="26">
        <v>37.35</v>
      </c>
      <c r="G488" s="26">
        <v>36.67</v>
      </c>
      <c r="I488" s="26" t="str">
        <f t="shared" si="15"/>
        <v>Y</v>
      </c>
    </row>
    <row r="489" spans="1:9" x14ac:dyDescent="0.15">
      <c r="A489" s="26">
        <f t="shared" si="14"/>
        <v>2640</v>
      </c>
      <c r="B489" s="27" t="s">
        <v>2292</v>
      </c>
      <c r="C489" s="26" t="s">
        <v>681</v>
      </c>
      <c r="D489" s="26">
        <v>0</v>
      </c>
      <c r="E489" s="26">
        <v>0</v>
      </c>
      <c r="F489" s="26">
        <v>62.1</v>
      </c>
      <c r="G489" s="26">
        <v>61.13</v>
      </c>
      <c r="I489" s="26" t="str">
        <f t="shared" si="15"/>
        <v>Y</v>
      </c>
    </row>
    <row r="490" spans="1:9" x14ac:dyDescent="0.15">
      <c r="A490" s="26">
        <f t="shared" si="14"/>
        <v>2641</v>
      </c>
      <c r="B490" s="27" t="s">
        <v>2293</v>
      </c>
      <c r="C490" s="26" t="s">
        <v>682</v>
      </c>
      <c r="D490" s="26">
        <v>1</v>
      </c>
      <c r="E490" s="26">
        <v>0</v>
      </c>
      <c r="F490" s="26">
        <v>7.5</v>
      </c>
      <c r="G490" s="26">
        <v>7.24</v>
      </c>
      <c r="I490" s="26" t="str">
        <f t="shared" si="15"/>
        <v>Y</v>
      </c>
    </row>
    <row r="491" spans="1:9" x14ac:dyDescent="0.15">
      <c r="A491" s="26">
        <f t="shared" si="14"/>
        <v>2642</v>
      </c>
      <c r="B491" s="27" t="s">
        <v>2294</v>
      </c>
      <c r="C491" s="26" t="s">
        <v>683</v>
      </c>
      <c r="D491" s="26">
        <v>-40</v>
      </c>
      <c r="E491" s="26">
        <v>0</v>
      </c>
      <c r="F491" s="26">
        <v>29.1</v>
      </c>
      <c r="G491" s="26">
        <v>27.7</v>
      </c>
      <c r="I491" s="26" t="str">
        <f t="shared" si="15"/>
        <v>Y</v>
      </c>
    </row>
    <row r="492" spans="1:9" x14ac:dyDescent="0.15">
      <c r="A492" s="26">
        <f t="shared" si="14"/>
        <v>2643</v>
      </c>
      <c r="B492" s="27" t="s">
        <v>3991</v>
      </c>
      <c r="C492" s="26" t="s">
        <v>3992</v>
      </c>
      <c r="D492" s="26">
        <v>-22</v>
      </c>
      <c r="E492" s="26">
        <v>0</v>
      </c>
      <c r="F492" s="26">
        <v>31.75</v>
      </c>
      <c r="G492" s="26">
        <v>32.83</v>
      </c>
      <c r="I492" s="26" t="str">
        <f t="shared" si="15"/>
        <v>-</v>
      </c>
    </row>
    <row r="493" spans="1:9" x14ac:dyDescent="0.15">
      <c r="A493" s="26">
        <f t="shared" si="14"/>
        <v>2701</v>
      </c>
      <c r="B493" s="27" t="s">
        <v>2295</v>
      </c>
      <c r="C493" s="26" t="s">
        <v>684</v>
      </c>
      <c r="D493" s="26">
        <v>-25</v>
      </c>
      <c r="E493" s="26">
        <v>0</v>
      </c>
      <c r="F493" s="26">
        <v>14.7</v>
      </c>
      <c r="G493" s="26">
        <v>14.55</v>
      </c>
      <c r="I493" s="26" t="str">
        <f t="shared" si="15"/>
        <v>Y</v>
      </c>
    </row>
    <row r="494" spans="1:9" x14ac:dyDescent="0.15">
      <c r="A494" s="26">
        <f t="shared" si="14"/>
        <v>2702</v>
      </c>
      <c r="B494" s="27" t="s">
        <v>2296</v>
      </c>
      <c r="C494" s="26" t="s">
        <v>685</v>
      </c>
      <c r="D494" s="26">
        <v>-1</v>
      </c>
      <c r="E494" s="26">
        <v>0</v>
      </c>
      <c r="F494" s="26">
        <v>17.100000000000001</v>
      </c>
      <c r="G494" s="26">
        <v>15.75</v>
      </c>
      <c r="I494" s="26" t="str">
        <f t="shared" si="15"/>
        <v>Y</v>
      </c>
    </row>
    <row r="495" spans="1:9" x14ac:dyDescent="0.15">
      <c r="A495" s="26">
        <f t="shared" si="14"/>
        <v>2704</v>
      </c>
      <c r="B495" s="27" t="s">
        <v>2297</v>
      </c>
      <c r="C495" s="26" t="s">
        <v>686</v>
      </c>
      <c r="D495" s="26">
        <v>18</v>
      </c>
      <c r="E495" s="26">
        <v>0</v>
      </c>
      <c r="F495" s="26">
        <v>26.6</v>
      </c>
      <c r="G495" s="26">
        <v>26.28</v>
      </c>
      <c r="I495" s="26" t="str">
        <f t="shared" si="15"/>
        <v>Y</v>
      </c>
    </row>
    <row r="496" spans="1:9" x14ac:dyDescent="0.15">
      <c r="A496" s="26">
        <f t="shared" si="14"/>
        <v>2705</v>
      </c>
      <c r="B496" s="27" t="s">
        <v>2298</v>
      </c>
      <c r="C496" s="26" t="s">
        <v>687</v>
      </c>
      <c r="D496" s="26">
        <v>40</v>
      </c>
      <c r="E496" s="26">
        <v>0</v>
      </c>
      <c r="F496" s="26">
        <v>10.5</v>
      </c>
      <c r="G496" s="26">
        <v>10.45</v>
      </c>
      <c r="I496" s="26" t="str">
        <f t="shared" si="15"/>
        <v>Y</v>
      </c>
    </row>
    <row r="497" spans="1:9" x14ac:dyDescent="0.15">
      <c r="A497" s="26">
        <f t="shared" si="14"/>
        <v>2706</v>
      </c>
      <c r="B497" s="27" t="s">
        <v>2299</v>
      </c>
      <c r="C497" s="26" t="s">
        <v>688</v>
      </c>
      <c r="D497" s="26">
        <v>9</v>
      </c>
      <c r="E497" s="26">
        <v>0</v>
      </c>
      <c r="F497" s="26">
        <v>18.899999999999999</v>
      </c>
      <c r="G497" s="26">
        <v>18.73</v>
      </c>
      <c r="I497" s="26" t="str">
        <f t="shared" si="15"/>
        <v>Y</v>
      </c>
    </row>
    <row r="498" spans="1:9" x14ac:dyDescent="0.15">
      <c r="A498" s="26">
        <f t="shared" si="14"/>
        <v>2707</v>
      </c>
      <c r="B498" s="27" t="s">
        <v>2300</v>
      </c>
      <c r="C498" s="26" t="s">
        <v>689</v>
      </c>
      <c r="D498" s="26">
        <v>-42</v>
      </c>
      <c r="E498" s="26">
        <v>7</v>
      </c>
      <c r="F498" s="26">
        <v>212.5</v>
      </c>
      <c r="G498" s="26">
        <v>214.25</v>
      </c>
      <c r="I498" s="26" t="str">
        <f t="shared" si="15"/>
        <v>-</v>
      </c>
    </row>
    <row r="499" spans="1:9" x14ac:dyDescent="0.15">
      <c r="A499" s="26">
        <f t="shared" si="14"/>
        <v>2712</v>
      </c>
      <c r="B499" s="27" t="s">
        <v>2301</v>
      </c>
      <c r="C499" s="26" t="s">
        <v>690</v>
      </c>
      <c r="D499" s="26">
        <v>0</v>
      </c>
      <c r="E499" s="26">
        <v>0</v>
      </c>
      <c r="F499" s="26">
        <v>25.5</v>
      </c>
      <c r="G499" s="26">
        <v>25.36</v>
      </c>
      <c r="I499" s="26" t="str">
        <f t="shared" si="15"/>
        <v>Y</v>
      </c>
    </row>
    <row r="500" spans="1:9" x14ac:dyDescent="0.15">
      <c r="A500" s="26">
        <f t="shared" si="14"/>
        <v>2718</v>
      </c>
      <c r="B500" s="27" t="s">
        <v>2302</v>
      </c>
      <c r="C500" s="26" t="s">
        <v>691</v>
      </c>
      <c r="D500" s="26">
        <v>0</v>
      </c>
      <c r="E500" s="26">
        <v>0</v>
      </c>
      <c r="F500" s="26">
        <v>31.3</v>
      </c>
      <c r="G500" s="26">
        <v>32.630000000000003</v>
      </c>
      <c r="I500" s="26" t="str">
        <f t="shared" si="15"/>
        <v>-</v>
      </c>
    </row>
    <row r="501" spans="1:9" x14ac:dyDescent="0.15">
      <c r="A501" s="26">
        <f t="shared" si="14"/>
        <v>2719</v>
      </c>
      <c r="B501" s="27" t="s">
        <v>2303</v>
      </c>
      <c r="C501" s="26" t="s">
        <v>692</v>
      </c>
      <c r="D501" s="26">
        <v>0</v>
      </c>
      <c r="E501" s="26">
        <v>0</v>
      </c>
      <c r="F501" s="26">
        <v>17.05</v>
      </c>
      <c r="G501" s="26">
        <v>17.149999999999999</v>
      </c>
      <c r="I501" s="26" t="str">
        <f t="shared" si="15"/>
        <v>-</v>
      </c>
    </row>
    <row r="502" spans="1:9" x14ac:dyDescent="0.15">
      <c r="A502" s="26">
        <f t="shared" si="14"/>
        <v>2722</v>
      </c>
      <c r="B502" s="27" t="s">
        <v>2304</v>
      </c>
      <c r="C502" s="26" t="s">
        <v>693</v>
      </c>
      <c r="D502" s="26">
        <v>4</v>
      </c>
      <c r="E502" s="26">
        <v>0</v>
      </c>
      <c r="F502" s="26">
        <v>44.85</v>
      </c>
      <c r="G502" s="26">
        <v>44.99</v>
      </c>
      <c r="I502" s="26" t="str">
        <f t="shared" si="15"/>
        <v>-</v>
      </c>
    </row>
    <row r="503" spans="1:9" x14ac:dyDescent="0.15">
      <c r="A503" s="26">
        <f t="shared" si="14"/>
        <v>2723</v>
      </c>
      <c r="B503" s="27" t="s">
        <v>2305</v>
      </c>
      <c r="C503" s="26" t="s">
        <v>694</v>
      </c>
      <c r="D503" s="26">
        <v>-30</v>
      </c>
      <c r="E503" s="26">
        <v>10</v>
      </c>
      <c r="F503" s="26">
        <v>205.5</v>
      </c>
      <c r="G503" s="26">
        <v>208.42</v>
      </c>
      <c r="I503" s="26" t="str">
        <f t="shared" si="15"/>
        <v>-</v>
      </c>
    </row>
    <row r="504" spans="1:9" x14ac:dyDescent="0.15">
      <c r="A504" s="26">
        <f t="shared" si="14"/>
        <v>2724</v>
      </c>
      <c r="B504" s="27" t="s">
        <v>2306</v>
      </c>
      <c r="C504" s="26" t="s">
        <v>695</v>
      </c>
      <c r="D504" s="26">
        <v>-7</v>
      </c>
      <c r="E504" s="26">
        <v>0</v>
      </c>
      <c r="F504" s="26">
        <v>13.6</v>
      </c>
      <c r="G504" s="26">
        <v>13.13</v>
      </c>
      <c r="I504" s="26" t="str">
        <f t="shared" si="15"/>
        <v>Y</v>
      </c>
    </row>
    <row r="505" spans="1:9" x14ac:dyDescent="0.15">
      <c r="A505" s="26">
        <f t="shared" si="14"/>
        <v>2726</v>
      </c>
      <c r="B505" s="27" t="s">
        <v>2307</v>
      </c>
      <c r="C505" s="26" t="s">
        <v>696</v>
      </c>
      <c r="D505" s="26">
        <v>14</v>
      </c>
      <c r="E505" s="26">
        <v>0</v>
      </c>
      <c r="F505" s="26">
        <v>67</v>
      </c>
      <c r="G505" s="26">
        <v>67.930000000000007</v>
      </c>
      <c r="I505" s="26" t="str">
        <f t="shared" si="15"/>
        <v>-</v>
      </c>
    </row>
    <row r="506" spans="1:9" x14ac:dyDescent="0.15">
      <c r="A506" s="26">
        <f t="shared" si="14"/>
        <v>2727</v>
      </c>
      <c r="B506" s="27" t="s">
        <v>2308</v>
      </c>
      <c r="C506" s="26" t="s">
        <v>697</v>
      </c>
      <c r="D506" s="26">
        <v>13</v>
      </c>
      <c r="E506" s="26">
        <v>0</v>
      </c>
      <c r="F506" s="26">
        <v>141.5</v>
      </c>
      <c r="G506" s="26">
        <v>139.75</v>
      </c>
      <c r="I506" s="26" t="str">
        <f t="shared" si="15"/>
        <v>Y</v>
      </c>
    </row>
    <row r="507" spans="1:9" x14ac:dyDescent="0.15">
      <c r="A507" s="26">
        <f t="shared" si="14"/>
        <v>2729</v>
      </c>
      <c r="B507" s="27" t="s">
        <v>2309</v>
      </c>
      <c r="C507" s="26" t="s">
        <v>698</v>
      </c>
      <c r="D507" s="26">
        <v>0</v>
      </c>
      <c r="E507" s="26">
        <v>0</v>
      </c>
      <c r="F507" s="26">
        <v>234</v>
      </c>
      <c r="G507" s="26">
        <v>232.92</v>
      </c>
      <c r="I507" s="26" t="str">
        <f t="shared" si="15"/>
        <v>Y</v>
      </c>
    </row>
    <row r="508" spans="1:9" x14ac:dyDescent="0.15">
      <c r="A508" s="26">
        <f t="shared" si="14"/>
        <v>2731</v>
      </c>
      <c r="B508" s="27" t="s">
        <v>2310</v>
      </c>
      <c r="C508" s="26" t="s">
        <v>699</v>
      </c>
      <c r="D508" s="26">
        <v>-13</v>
      </c>
      <c r="E508" s="26">
        <v>0</v>
      </c>
      <c r="F508" s="26">
        <v>114.5</v>
      </c>
      <c r="G508" s="26">
        <v>106.92</v>
      </c>
      <c r="I508" s="26" t="str">
        <f t="shared" si="15"/>
        <v>Y</v>
      </c>
    </row>
    <row r="509" spans="1:9" x14ac:dyDescent="0.15">
      <c r="A509" s="26">
        <f t="shared" si="14"/>
        <v>2732</v>
      </c>
      <c r="B509" s="27" t="s">
        <v>2311</v>
      </c>
      <c r="C509" s="26" t="s">
        <v>700</v>
      </c>
      <c r="D509" s="26">
        <v>-2</v>
      </c>
      <c r="E509" s="26">
        <v>0</v>
      </c>
      <c r="F509" s="26">
        <v>81.400000000000006</v>
      </c>
      <c r="G509" s="26">
        <v>80.290000000000006</v>
      </c>
      <c r="I509" s="26" t="str">
        <f t="shared" si="15"/>
        <v>Y</v>
      </c>
    </row>
    <row r="510" spans="1:9" x14ac:dyDescent="0.15">
      <c r="A510" s="26">
        <f t="shared" si="14"/>
        <v>2734</v>
      </c>
      <c r="B510" s="27" t="s">
        <v>2312</v>
      </c>
      <c r="C510" s="26" t="s">
        <v>701</v>
      </c>
      <c r="D510" s="26">
        <v>0</v>
      </c>
      <c r="E510" s="26">
        <v>0</v>
      </c>
      <c r="F510" s="26">
        <v>21.3</v>
      </c>
      <c r="G510" s="26">
        <v>21.55</v>
      </c>
      <c r="I510" s="26" t="str">
        <f t="shared" si="15"/>
        <v>-</v>
      </c>
    </row>
    <row r="511" spans="1:9" x14ac:dyDescent="0.15">
      <c r="A511" s="26">
        <f t="shared" si="14"/>
        <v>2736</v>
      </c>
      <c r="B511" s="27" t="s">
        <v>2313</v>
      </c>
      <c r="C511" s="26" t="s">
        <v>702</v>
      </c>
      <c r="D511" s="26">
        <v>-10</v>
      </c>
      <c r="E511" s="26">
        <v>0</v>
      </c>
      <c r="F511" s="26">
        <v>40.75</v>
      </c>
      <c r="G511" s="26">
        <v>41.14</v>
      </c>
      <c r="I511" s="26" t="str">
        <f t="shared" si="15"/>
        <v>-</v>
      </c>
    </row>
    <row r="512" spans="1:9" x14ac:dyDescent="0.15">
      <c r="A512" s="26">
        <f t="shared" si="14"/>
        <v>2740</v>
      </c>
      <c r="B512" s="27" t="s">
        <v>2314</v>
      </c>
      <c r="C512" s="26" t="s">
        <v>703</v>
      </c>
      <c r="D512" s="26">
        <v>-1</v>
      </c>
      <c r="E512" s="26">
        <v>0</v>
      </c>
      <c r="F512" s="26">
        <v>65.099999999999994</v>
      </c>
      <c r="G512" s="26">
        <v>65.7</v>
      </c>
      <c r="I512" s="26" t="str">
        <f t="shared" si="15"/>
        <v>-</v>
      </c>
    </row>
    <row r="513" spans="1:9" x14ac:dyDescent="0.15">
      <c r="A513" s="26">
        <f t="shared" si="14"/>
        <v>2801</v>
      </c>
      <c r="B513" s="27" t="s">
        <v>2315</v>
      </c>
      <c r="C513" s="26" t="s">
        <v>704</v>
      </c>
      <c r="D513" s="26">
        <v>1615</v>
      </c>
      <c r="E513" s="26">
        <v>0</v>
      </c>
      <c r="F513" s="26">
        <v>16.55</v>
      </c>
      <c r="G513" s="26">
        <v>16.27</v>
      </c>
      <c r="I513" s="26" t="str">
        <f t="shared" si="15"/>
        <v>Y</v>
      </c>
    </row>
    <row r="514" spans="1:9" x14ac:dyDescent="0.15">
      <c r="A514" s="26">
        <f t="shared" si="14"/>
        <v>2809</v>
      </c>
      <c r="B514" s="27" t="s">
        <v>2316</v>
      </c>
      <c r="C514" s="26" t="s">
        <v>705</v>
      </c>
      <c r="D514" s="26">
        <v>-594</v>
      </c>
      <c r="E514" s="26">
        <v>393</v>
      </c>
      <c r="F514" s="26">
        <v>21.8</v>
      </c>
      <c r="G514" s="26">
        <v>21.34</v>
      </c>
      <c r="I514" s="26" t="str">
        <f t="shared" si="15"/>
        <v>Y</v>
      </c>
    </row>
    <row r="515" spans="1:9" x14ac:dyDescent="0.15">
      <c r="A515" s="26">
        <f t="shared" si="14"/>
        <v>2812</v>
      </c>
      <c r="B515" s="27" t="s">
        <v>2317</v>
      </c>
      <c r="C515" s="26" t="s">
        <v>706</v>
      </c>
      <c r="D515" s="26">
        <v>129</v>
      </c>
      <c r="E515" s="26">
        <v>0</v>
      </c>
      <c r="F515" s="26">
        <v>9.34</v>
      </c>
      <c r="G515" s="26">
        <v>9.17</v>
      </c>
      <c r="I515" s="26" t="str">
        <f t="shared" si="15"/>
        <v>Y</v>
      </c>
    </row>
    <row r="516" spans="1:9" x14ac:dyDescent="0.15">
      <c r="A516" s="26">
        <f t="shared" si="14"/>
        <v>2816</v>
      </c>
      <c r="B516" s="27" t="s">
        <v>2318</v>
      </c>
      <c r="C516" s="26" t="s">
        <v>707</v>
      </c>
      <c r="D516" s="26">
        <v>82</v>
      </c>
      <c r="E516" s="26">
        <v>0</v>
      </c>
      <c r="F516" s="26">
        <v>15.6</v>
      </c>
      <c r="G516" s="26">
        <v>14.88</v>
      </c>
      <c r="I516" s="26" t="str">
        <f t="shared" si="15"/>
        <v>Y</v>
      </c>
    </row>
    <row r="517" spans="1:9" x14ac:dyDescent="0.15">
      <c r="A517" s="26">
        <f t="shared" si="14"/>
        <v>2820</v>
      </c>
      <c r="B517" s="27" t="s">
        <v>2319</v>
      </c>
      <c r="C517" s="26" t="s">
        <v>708</v>
      </c>
      <c r="D517" s="26">
        <v>576</v>
      </c>
      <c r="E517" s="26">
        <v>0</v>
      </c>
      <c r="F517" s="26">
        <v>12.2</v>
      </c>
      <c r="G517" s="26">
        <v>11.97</v>
      </c>
      <c r="I517" s="26" t="str">
        <f t="shared" si="15"/>
        <v>Y</v>
      </c>
    </row>
    <row r="518" spans="1:9" x14ac:dyDescent="0.15">
      <c r="A518" s="26">
        <f t="shared" si="14"/>
        <v>2823</v>
      </c>
      <c r="B518" s="27" t="s">
        <v>2320</v>
      </c>
      <c r="C518" s="26" t="s">
        <v>709</v>
      </c>
      <c r="D518" s="26">
        <v>2457</v>
      </c>
      <c r="E518" s="26">
        <v>0</v>
      </c>
      <c r="F518" s="26">
        <v>24.8</v>
      </c>
      <c r="G518" s="26">
        <v>23.35</v>
      </c>
      <c r="I518" s="26" t="str">
        <f t="shared" si="15"/>
        <v>Y</v>
      </c>
    </row>
    <row r="519" spans="1:9" x14ac:dyDescent="0.15">
      <c r="A519" s="26">
        <f t="shared" ref="A519:A582" si="16">VALUE(B519)</f>
        <v>2832</v>
      </c>
      <c r="B519" s="27" t="s">
        <v>2321</v>
      </c>
      <c r="C519" s="26" t="s">
        <v>710</v>
      </c>
      <c r="D519" s="26">
        <v>-7</v>
      </c>
      <c r="E519" s="26">
        <v>0</v>
      </c>
      <c r="F519" s="26">
        <v>21.25</v>
      </c>
      <c r="G519" s="26">
        <v>20.87</v>
      </c>
      <c r="I519" s="26" t="str">
        <f t="shared" ref="I519:I582" si="17">IF(F519&gt;G519,"Y","-")</f>
        <v>Y</v>
      </c>
    </row>
    <row r="520" spans="1:9" x14ac:dyDescent="0.15">
      <c r="A520" s="26">
        <f t="shared" si="16"/>
        <v>2834</v>
      </c>
      <c r="B520" s="27" t="s">
        <v>2322</v>
      </c>
      <c r="C520" s="26" t="s">
        <v>711</v>
      </c>
      <c r="D520" s="26">
        <v>2791</v>
      </c>
      <c r="E520" s="26">
        <v>0</v>
      </c>
      <c r="F520" s="26">
        <v>8.4600000000000009</v>
      </c>
      <c r="G520" s="26">
        <v>8.26</v>
      </c>
      <c r="I520" s="26" t="str">
        <f t="shared" si="17"/>
        <v>Y</v>
      </c>
    </row>
    <row r="521" spans="1:9" x14ac:dyDescent="0.15">
      <c r="A521" s="26">
        <f t="shared" si="16"/>
        <v>2836</v>
      </c>
      <c r="B521" s="27" t="s">
        <v>2323</v>
      </c>
      <c r="C521" s="26" t="s">
        <v>712</v>
      </c>
      <c r="D521" s="26">
        <v>102</v>
      </c>
      <c r="E521" s="26">
        <v>0</v>
      </c>
      <c r="F521" s="26">
        <v>8.82</v>
      </c>
      <c r="G521" s="26">
        <v>8.6199999999999992</v>
      </c>
      <c r="I521" s="26" t="str">
        <f t="shared" si="17"/>
        <v>Y</v>
      </c>
    </row>
    <row r="522" spans="1:9" x14ac:dyDescent="0.15">
      <c r="A522" s="26">
        <f t="shared" si="16"/>
        <v>2838</v>
      </c>
      <c r="B522" s="27" t="s">
        <v>2324</v>
      </c>
      <c r="C522" s="26" t="s">
        <v>713</v>
      </c>
      <c r="D522" s="26">
        <v>15</v>
      </c>
      <c r="E522" s="26">
        <v>0</v>
      </c>
      <c r="F522" s="26">
        <v>9.5399999999999991</v>
      </c>
      <c r="G522" s="26">
        <v>9.36</v>
      </c>
      <c r="I522" s="26" t="str">
        <f t="shared" si="17"/>
        <v>Y</v>
      </c>
    </row>
    <row r="523" spans="1:9" x14ac:dyDescent="0.15">
      <c r="A523" s="26">
        <f t="shared" si="16"/>
        <v>2841</v>
      </c>
      <c r="B523" s="27" t="s">
        <v>2325</v>
      </c>
      <c r="C523" s="26" t="s">
        <v>714</v>
      </c>
      <c r="D523" s="26">
        <v>-654</v>
      </c>
      <c r="E523" s="26">
        <v>0</v>
      </c>
      <c r="F523" s="26">
        <v>12.2</v>
      </c>
      <c r="G523" s="26">
        <v>12</v>
      </c>
      <c r="I523" s="26" t="str">
        <f t="shared" si="17"/>
        <v>Y</v>
      </c>
    </row>
    <row r="524" spans="1:9" x14ac:dyDescent="0.15">
      <c r="A524" s="26">
        <f t="shared" si="16"/>
        <v>2845</v>
      </c>
      <c r="B524" s="27" t="s">
        <v>2326</v>
      </c>
      <c r="C524" s="26" t="s">
        <v>715</v>
      </c>
      <c r="D524" s="26">
        <v>316</v>
      </c>
      <c r="E524" s="26">
        <v>0</v>
      </c>
      <c r="F524" s="26">
        <v>9.7899999999999991</v>
      </c>
      <c r="G524" s="26">
        <v>9.52</v>
      </c>
      <c r="I524" s="26" t="str">
        <f t="shared" si="17"/>
        <v>Y</v>
      </c>
    </row>
    <row r="525" spans="1:9" x14ac:dyDescent="0.15">
      <c r="A525" s="26">
        <f t="shared" si="16"/>
        <v>2847</v>
      </c>
      <c r="B525" s="27" t="s">
        <v>2327</v>
      </c>
      <c r="C525" s="26" t="s">
        <v>716</v>
      </c>
      <c r="D525" s="26">
        <v>-1051</v>
      </c>
      <c r="E525" s="26">
        <v>0</v>
      </c>
      <c r="F525" s="26">
        <v>13.5</v>
      </c>
      <c r="G525" s="26">
        <v>13.11</v>
      </c>
      <c r="I525" s="26" t="str">
        <f t="shared" si="17"/>
        <v>Y</v>
      </c>
    </row>
    <row r="526" spans="1:9" x14ac:dyDescent="0.15">
      <c r="A526" s="26">
        <f t="shared" si="16"/>
        <v>2849</v>
      </c>
      <c r="B526" s="27" t="s">
        <v>2328</v>
      </c>
      <c r="C526" s="26" t="s">
        <v>717</v>
      </c>
      <c r="D526" s="26">
        <v>62</v>
      </c>
      <c r="E526" s="26">
        <v>0</v>
      </c>
      <c r="F526" s="26">
        <v>15</v>
      </c>
      <c r="G526" s="26">
        <v>14.33</v>
      </c>
      <c r="I526" s="26" t="str">
        <f t="shared" si="17"/>
        <v>Y</v>
      </c>
    </row>
    <row r="527" spans="1:9" x14ac:dyDescent="0.15">
      <c r="A527" s="26">
        <f t="shared" si="16"/>
        <v>2850</v>
      </c>
      <c r="B527" s="27" t="s">
        <v>2329</v>
      </c>
      <c r="C527" s="26" t="s">
        <v>718</v>
      </c>
      <c r="D527" s="26">
        <v>-21</v>
      </c>
      <c r="E527" s="26">
        <v>0</v>
      </c>
      <c r="F527" s="26">
        <v>23.6</v>
      </c>
      <c r="G527" s="26">
        <v>22.74</v>
      </c>
      <c r="I527" s="26" t="str">
        <f t="shared" si="17"/>
        <v>Y</v>
      </c>
    </row>
    <row r="528" spans="1:9" x14ac:dyDescent="0.15">
      <c r="A528" s="26">
        <f t="shared" si="16"/>
        <v>2851</v>
      </c>
      <c r="B528" s="27" t="s">
        <v>2330</v>
      </c>
      <c r="C528" s="26" t="s">
        <v>719</v>
      </c>
      <c r="D528" s="26">
        <v>-27</v>
      </c>
      <c r="E528" s="26">
        <v>27</v>
      </c>
      <c r="F528" s="26">
        <v>15.25</v>
      </c>
      <c r="G528" s="26">
        <v>15.03</v>
      </c>
      <c r="I528" s="26" t="str">
        <f t="shared" si="17"/>
        <v>Y</v>
      </c>
    </row>
    <row r="529" spans="1:9" x14ac:dyDescent="0.15">
      <c r="A529" s="26">
        <f t="shared" si="16"/>
        <v>2852</v>
      </c>
      <c r="B529" s="27" t="s">
        <v>2331</v>
      </c>
      <c r="C529" s="26" t="s">
        <v>720</v>
      </c>
      <c r="D529" s="26">
        <v>42</v>
      </c>
      <c r="E529" s="26">
        <v>0</v>
      </c>
      <c r="F529" s="26">
        <v>11.75</v>
      </c>
      <c r="G529" s="26">
        <v>11.13</v>
      </c>
      <c r="I529" s="26" t="str">
        <f t="shared" si="17"/>
        <v>Y</v>
      </c>
    </row>
    <row r="530" spans="1:9" x14ac:dyDescent="0.15">
      <c r="A530" s="26">
        <f t="shared" si="16"/>
        <v>2855</v>
      </c>
      <c r="B530" s="27" t="s">
        <v>2332</v>
      </c>
      <c r="C530" s="26" t="s">
        <v>721</v>
      </c>
      <c r="D530" s="26">
        <v>316</v>
      </c>
      <c r="E530" s="26">
        <v>0</v>
      </c>
      <c r="F530" s="26">
        <v>14</v>
      </c>
      <c r="G530" s="26">
        <v>12.94</v>
      </c>
      <c r="I530" s="26" t="str">
        <f t="shared" si="17"/>
        <v>Y</v>
      </c>
    </row>
    <row r="531" spans="1:9" x14ac:dyDescent="0.15">
      <c r="A531" s="26">
        <f t="shared" si="16"/>
        <v>2856</v>
      </c>
      <c r="B531" s="27" t="s">
        <v>2333</v>
      </c>
      <c r="C531" s="26" t="s">
        <v>722</v>
      </c>
      <c r="D531" s="26">
        <v>-116</v>
      </c>
      <c r="E531" s="26">
        <v>0</v>
      </c>
      <c r="F531" s="26">
        <v>9.27</v>
      </c>
      <c r="G531" s="26">
        <v>9.01</v>
      </c>
      <c r="I531" s="26" t="str">
        <f t="shared" si="17"/>
        <v>Y</v>
      </c>
    </row>
    <row r="532" spans="1:9" x14ac:dyDescent="0.15">
      <c r="A532" s="26">
        <f t="shared" si="16"/>
        <v>2867</v>
      </c>
      <c r="B532" s="27" t="s">
        <v>2334</v>
      </c>
      <c r="C532" s="26" t="s">
        <v>723</v>
      </c>
      <c r="D532" s="26">
        <v>645</v>
      </c>
      <c r="E532" s="26">
        <v>0</v>
      </c>
      <c r="F532" s="26">
        <v>17.2</v>
      </c>
      <c r="G532" s="26">
        <v>16.95</v>
      </c>
      <c r="I532" s="26" t="str">
        <f t="shared" si="17"/>
        <v>Y</v>
      </c>
    </row>
    <row r="533" spans="1:9" x14ac:dyDescent="0.15">
      <c r="A533" s="26">
        <f t="shared" si="16"/>
        <v>2880</v>
      </c>
      <c r="B533" s="27" t="s">
        <v>2335</v>
      </c>
      <c r="C533" s="26" t="s">
        <v>724</v>
      </c>
      <c r="D533" s="26">
        <v>2387</v>
      </c>
      <c r="E533" s="26">
        <v>0</v>
      </c>
      <c r="F533" s="26">
        <v>15.9</v>
      </c>
      <c r="G533" s="26">
        <v>15.5</v>
      </c>
      <c r="I533" s="26" t="str">
        <f t="shared" si="17"/>
        <v>Y</v>
      </c>
    </row>
    <row r="534" spans="1:9" x14ac:dyDescent="0.15">
      <c r="A534" s="26">
        <f t="shared" si="16"/>
        <v>2881</v>
      </c>
      <c r="B534" s="27" t="s">
        <v>2336</v>
      </c>
      <c r="C534" s="26" t="s">
        <v>725</v>
      </c>
      <c r="D534" s="26">
        <v>3848</v>
      </c>
      <c r="E534" s="26">
        <v>-632</v>
      </c>
      <c r="F534" s="26">
        <v>41</v>
      </c>
      <c r="G534" s="26">
        <v>39.47</v>
      </c>
      <c r="I534" s="26" t="str">
        <f t="shared" si="17"/>
        <v>Y</v>
      </c>
    </row>
    <row r="535" spans="1:9" x14ac:dyDescent="0.15">
      <c r="A535" s="26">
        <f t="shared" si="16"/>
        <v>2882</v>
      </c>
      <c r="B535" s="27" t="s">
        <v>2337</v>
      </c>
      <c r="C535" s="26" t="s">
        <v>726</v>
      </c>
      <c r="D535" s="26">
        <v>12220</v>
      </c>
      <c r="E535" s="26">
        <v>-5</v>
      </c>
      <c r="F535" s="26">
        <v>39.6</v>
      </c>
      <c r="G535" s="26">
        <v>37.700000000000003</v>
      </c>
      <c r="I535" s="26" t="str">
        <f t="shared" si="17"/>
        <v>Y</v>
      </c>
    </row>
    <row r="536" spans="1:9" x14ac:dyDescent="0.15">
      <c r="A536" s="26">
        <f t="shared" si="16"/>
        <v>2883</v>
      </c>
      <c r="B536" s="27" t="s">
        <v>2338</v>
      </c>
      <c r="C536" s="26" t="s">
        <v>727</v>
      </c>
      <c r="D536" s="26">
        <v>14960</v>
      </c>
      <c r="E536" s="26">
        <v>470</v>
      </c>
      <c r="F536" s="26">
        <v>8.35</v>
      </c>
      <c r="G536" s="26">
        <v>8.01</v>
      </c>
      <c r="I536" s="26" t="str">
        <f t="shared" si="17"/>
        <v>Y</v>
      </c>
    </row>
    <row r="537" spans="1:9" x14ac:dyDescent="0.15">
      <c r="A537" s="26">
        <f t="shared" si="16"/>
        <v>2884</v>
      </c>
      <c r="B537" s="27" t="s">
        <v>2339</v>
      </c>
      <c r="C537" s="26" t="s">
        <v>728</v>
      </c>
      <c r="D537" s="26">
        <v>5715</v>
      </c>
      <c r="E537" s="26">
        <v>0</v>
      </c>
      <c r="F537" s="26">
        <v>18.25</v>
      </c>
      <c r="G537" s="26">
        <v>17.36</v>
      </c>
      <c r="I537" s="26" t="str">
        <f t="shared" si="17"/>
        <v>Y</v>
      </c>
    </row>
    <row r="538" spans="1:9" x14ac:dyDescent="0.15">
      <c r="A538" s="26">
        <f t="shared" si="16"/>
        <v>2885</v>
      </c>
      <c r="B538" s="27" t="s">
        <v>2340</v>
      </c>
      <c r="C538" s="26" t="s">
        <v>729</v>
      </c>
      <c r="D538" s="26">
        <v>-1391</v>
      </c>
      <c r="E538" s="26">
        <v>0</v>
      </c>
      <c r="F538" s="26">
        <v>11.9</v>
      </c>
      <c r="G538" s="26">
        <v>11.06</v>
      </c>
      <c r="I538" s="26" t="str">
        <f t="shared" si="17"/>
        <v>Y</v>
      </c>
    </row>
    <row r="539" spans="1:9" x14ac:dyDescent="0.15">
      <c r="A539" s="26">
        <f t="shared" si="16"/>
        <v>2886</v>
      </c>
      <c r="B539" s="27" t="s">
        <v>2341</v>
      </c>
      <c r="C539" s="26" t="s">
        <v>730</v>
      </c>
      <c r="D539" s="26">
        <v>15413</v>
      </c>
      <c r="E539" s="26">
        <v>3132</v>
      </c>
      <c r="F539" s="26">
        <v>23</v>
      </c>
      <c r="G539" s="26">
        <v>21.95</v>
      </c>
      <c r="I539" s="26" t="str">
        <f t="shared" si="17"/>
        <v>Y</v>
      </c>
    </row>
    <row r="540" spans="1:9" x14ac:dyDescent="0.15">
      <c r="A540" s="26">
        <f t="shared" si="16"/>
        <v>2887</v>
      </c>
      <c r="B540" s="27" t="s">
        <v>2342</v>
      </c>
      <c r="C540" s="26" t="s">
        <v>731</v>
      </c>
      <c r="D540" s="26">
        <v>6408</v>
      </c>
      <c r="E540" s="26">
        <v>0</v>
      </c>
      <c r="F540" s="26">
        <v>11.55</v>
      </c>
      <c r="G540" s="26">
        <v>11.03</v>
      </c>
      <c r="I540" s="26" t="str">
        <f t="shared" si="17"/>
        <v>Y</v>
      </c>
    </row>
    <row r="541" spans="1:9" x14ac:dyDescent="0.15">
      <c r="A541" s="26">
        <f t="shared" si="16"/>
        <v>2888</v>
      </c>
      <c r="B541" s="27" t="s">
        <v>2343</v>
      </c>
      <c r="C541" s="26" t="s">
        <v>732</v>
      </c>
      <c r="D541" s="26">
        <v>7620</v>
      </c>
      <c r="E541" s="26">
        <v>0</v>
      </c>
      <c r="F541" s="26">
        <v>6.82</v>
      </c>
      <c r="G541" s="26">
        <v>6.39</v>
      </c>
      <c r="I541" s="26" t="str">
        <f t="shared" si="17"/>
        <v>Y</v>
      </c>
    </row>
    <row r="542" spans="1:9" x14ac:dyDescent="0.15">
      <c r="A542" s="26">
        <f t="shared" si="16"/>
        <v>2889</v>
      </c>
      <c r="B542" s="27" t="s">
        <v>2344</v>
      </c>
      <c r="C542" s="26" t="s">
        <v>733</v>
      </c>
      <c r="D542" s="26">
        <v>350</v>
      </c>
      <c r="E542" s="26">
        <v>0</v>
      </c>
      <c r="F542" s="26">
        <v>7.76</v>
      </c>
      <c r="G542" s="26">
        <v>7.46</v>
      </c>
      <c r="I542" s="26" t="str">
        <f t="shared" si="17"/>
        <v>Y</v>
      </c>
    </row>
    <row r="543" spans="1:9" x14ac:dyDescent="0.15">
      <c r="A543" s="26">
        <f t="shared" si="16"/>
        <v>2890</v>
      </c>
      <c r="B543" s="27" t="s">
        <v>2345</v>
      </c>
      <c r="C543" s="26" t="s">
        <v>734</v>
      </c>
      <c r="D543" s="26">
        <v>7857</v>
      </c>
      <c r="E543" s="26">
        <v>0</v>
      </c>
      <c r="F543" s="26">
        <v>9.6</v>
      </c>
      <c r="G543" s="26">
        <v>9.1999999999999993</v>
      </c>
      <c r="I543" s="26" t="str">
        <f t="shared" si="17"/>
        <v>Y</v>
      </c>
    </row>
    <row r="544" spans="1:9" x14ac:dyDescent="0.15">
      <c r="A544" s="26">
        <f t="shared" si="16"/>
        <v>2891</v>
      </c>
      <c r="B544" s="27" t="s">
        <v>2346</v>
      </c>
      <c r="C544" s="26" t="s">
        <v>735</v>
      </c>
      <c r="D544" s="26">
        <v>5923</v>
      </c>
      <c r="E544" s="26">
        <v>0</v>
      </c>
      <c r="F544" s="26">
        <v>16.850000000000001</v>
      </c>
      <c r="G544" s="26">
        <v>16.079999999999998</v>
      </c>
      <c r="I544" s="26" t="str">
        <f t="shared" si="17"/>
        <v>Y</v>
      </c>
    </row>
    <row r="545" spans="1:9" x14ac:dyDescent="0.15">
      <c r="A545" s="26">
        <f t="shared" si="16"/>
        <v>2892</v>
      </c>
      <c r="B545" s="27" t="s">
        <v>2347</v>
      </c>
      <c r="C545" s="26" t="s">
        <v>736</v>
      </c>
      <c r="D545" s="26">
        <v>7293</v>
      </c>
      <c r="E545" s="26">
        <v>-383</v>
      </c>
      <c r="F545" s="26">
        <v>15.95</v>
      </c>
      <c r="G545" s="26">
        <v>15.57</v>
      </c>
      <c r="I545" s="26" t="str">
        <f t="shared" si="17"/>
        <v>Y</v>
      </c>
    </row>
    <row r="546" spans="1:9" x14ac:dyDescent="0.15">
      <c r="A546" s="26">
        <f t="shared" si="16"/>
        <v>2901</v>
      </c>
      <c r="B546" s="27" t="s">
        <v>2348</v>
      </c>
      <c r="C546" s="26" t="s">
        <v>737</v>
      </c>
      <c r="D546" s="26">
        <v>-1</v>
      </c>
      <c r="E546" s="26">
        <v>0</v>
      </c>
      <c r="F546" s="26">
        <v>27</v>
      </c>
      <c r="G546" s="26">
        <v>26.3</v>
      </c>
      <c r="I546" s="26" t="str">
        <f t="shared" si="17"/>
        <v>Y</v>
      </c>
    </row>
    <row r="547" spans="1:9" x14ac:dyDescent="0.15">
      <c r="A547" s="26">
        <f t="shared" si="16"/>
        <v>2903</v>
      </c>
      <c r="B547" s="27" t="s">
        <v>2349</v>
      </c>
      <c r="C547" s="26" t="s">
        <v>738</v>
      </c>
      <c r="D547" s="26">
        <v>475</v>
      </c>
      <c r="E547" s="26">
        <v>0</v>
      </c>
      <c r="F547" s="26">
        <v>17.850000000000001</v>
      </c>
      <c r="G547" s="26">
        <v>17.309999999999999</v>
      </c>
      <c r="I547" s="26" t="str">
        <f t="shared" si="17"/>
        <v>Y</v>
      </c>
    </row>
    <row r="548" spans="1:9" x14ac:dyDescent="0.15">
      <c r="A548" s="26">
        <f t="shared" si="16"/>
        <v>2904</v>
      </c>
      <c r="B548" s="27" t="s">
        <v>2350</v>
      </c>
      <c r="C548" s="26" t="s">
        <v>739</v>
      </c>
      <c r="D548" s="26">
        <v>-2</v>
      </c>
      <c r="E548" s="26">
        <v>0</v>
      </c>
      <c r="F548" s="26">
        <v>28</v>
      </c>
      <c r="G548" s="26">
        <v>27.64</v>
      </c>
      <c r="I548" s="26" t="str">
        <f t="shared" si="17"/>
        <v>Y</v>
      </c>
    </row>
    <row r="549" spans="1:9" x14ac:dyDescent="0.15">
      <c r="A549" s="26">
        <f t="shared" si="16"/>
        <v>2905</v>
      </c>
      <c r="B549" s="27" t="s">
        <v>2351</v>
      </c>
      <c r="C549" s="26" t="s">
        <v>740</v>
      </c>
      <c r="D549" s="26">
        <v>-202</v>
      </c>
      <c r="E549" s="26">
        <v>0</v>
      </c>
      <c r="F549" s="26">
        <v>20.6</v>
      </c>
      <c r="G549" s="26">
        <v>19.850000000000001</v>
      </c>
      <c r="I549" s="26" t="str">
        <f t="shared" si="17"/>
        <v>Y</v>
      </c>
    </row>
    <row r="550" spans="1:9" x14ac:dyDescent="0.15">
      <c r="A550" s="26">
        <f t="shared" si="16"/>
        <v>2906</v>
      </c>
      <c r="B550" s="27" t="s">
        <v>2352</v>
      </c>
      <c r="C550" s="26" t="s">
        <v>741</v>
      </c>
      <c r="D550" s="26">
        <v>0</v>
      </c>
      <c r="E550" s="26">
        <v>0</v>
      </c>
      <c r="F550" s="26">
        <v>12.2</v>
      </c>
      <c r="G550" s="26">
        <v>11.87</v>
      </c>
      <c r="I550" s="26" t="str">
        <f t="shared" si="17"/>
        <v>Y</v>
      </c>
    </row>
    <row r="551" spans="1:9" x14ac:dyDescent="0.15">
      <c r="A551" s="26">
        <f t="shared" si="16"/>
        <v>2908</v>
      </c>
      <c r="B551" s="27" t="s">
        <v>2353</v>
      </c>
      <c r="C551" s="26" t="s">
        <v>742</v>
      </c>
      <c r="D551" s="26">
        <v>-111</v>
      </c>
      <c r="E551" s="26">
        <v>0</v>
      </c>
      <c r="F551" s="26">
        <v>20.25</v>
      </c>
      <c r="G551" s="26">
        <v>20.329999999999998</v>
      </c>
      <c r="I551" s="26" t="str">
        <f t="shared" si="17"/>
        <v>-</v>
      </c>
    </row>
    <row r="552" spans="1:9" x14ac:dyDescent="0.15">
      <c r="A552" s="26">
        <f t="shared" si="16"/>
        <v>2910</v>
      </c>
      <c r="B552" s="27" t="s">
        <v>2354</v>
      </c>
      <c r="C552" s="26" t="s">
        <v>743</v>
      </c>
      <c r="D552" s="26">
        <v>0</v>
      </c>
      <c r="E552" s="26">
        <v>0</v>
      </c>
      <c r="F552" s="26">
        <v>23.8</v>
      </c>
      <c r="G552" s="26">
        <v>23.38</v>
      </c>
      <c r="I552" s="26" t="str">
        <f t="shared" si="17"/>
        <v>Y</v>
      </c>
    </row>
    <row r="553" spans="1:9" x14ac:dyDescent="0.15">
      <c r="A553" s="26">
        <f t="shared" si="16"/>
        <v>2911</v>
      </c>
      <c r="B553" s="27" t="s">
        <v>2355</v>
      </c>
      <c r="C553" s="26" t="s">
        <v>744</v>
      </c>
      <c r="D553" s="26">
        <v>35</v>
      </c>
      <c r="E553" s="26">
        <v>0</v>
      </c>
      <c r="F553" s="26">
        <v>17.149999999999999</v>
      </c>
      <c r="G553" s="26">
        <v>16.41</v>
      </c>
      <c r="I553" s="26" t="str">
        <f t="shared" si="17"/>
        <v>Y</v>
      </c>
    </row>
    <row r="554" spans="1:9" x14ac:dyDescent="0.15">
      <c r="A554" s="26">
        <f t="shared" si="16"/>
        <v>2912</v>
      </c>
      <c r="B554" s="27" t="s">
        <v>2356</v>
      </c>
      <c r="C554" s="26" t="s">
        <v>745</v>
      </c>
      <c r="D554" s="26">
        <v>-65</v>
      </c>
      <c r="E554" s="26">
        <v>-37</v>
      </c>
      <c r="F554" s="26">
        <v>228.5</v>
      </c>
      <c r="G554" s="26">
        <v>226.5</v>
      </c>
      <c r="I554" s="26" t="str">
        <f t="shared" si="17"/>
        <v>Y</v>
      </c>
    </row>
    <row r="555" spans="1:9" x14ac:dyDescent="0.15">
      <c r="A555" s="26">
        <f t="shared" si="16"/>
        <v>2913</v>
      </c>
      <c r="B555" s="27" t="s">
        <v>2357</v>
      </c>
      <c r="C555" s="26" t="s">
        <v>746</v>
      </c>
      <c r="D555" s="26">
        <v>80</v>
      </c>
      <c r="E555" s="26">
        <v>0</v>
      </c>
      <c r="F555" s="26">
        <v>14.65</v>
      </c>
      <c r="G555" s="26">
        <v>14.23</v>
      </c>
      <c r="I555" s="26" t="str">
        <f t="shared" si="17"/>
        <v>Y</v>
      </c>
    </row>
    <row r="556" spans="1:9" x14ac:dyDescent="0.15">
      <c r="A556" s="26">
        <f t="shared" si="16"/>
        <v>2915</v>
      </c>
      <c r="B556" s="27" t="s">
        <v>2358</v>
      </c>
      <c r="C556" s="26" t="s">
        <v>747</v>
      </c>
      <c r="D556" s="26">
        <v>93</v>
      </c>
      <c r="E556" s="26">
        <v>0</v>
      </c>
      <c r="F556" s="26">
        <v>60.5</v>
      </c>
      <c r="G556" s="26">
        <v>58.82</v>
      </c>
      <c r="I556" s="26" t="str">
        <f t="shared" si="17"/>
        <v>Y</v>
      </c>
    </row>
    <row r="557" spans="1:9" x14ac:dyDescent="0.15">
      <c r="A557" s="26">
        <f t="shared" si="16"/>
        <v>2916</v>
      </c>
      <c r="B557" s="27" t="s">
        <v>2359</v>
      </c>
      <c r="C557" s="26" t="s">
        <v>748</v>
      </c>
      <c r="D557" s="26">
        <v>0</v>
      </c>
      <c r="E557" s="26">
        <v>0</v>
      </c>
      <c r="F557" s="26">
        <v>17.399999999999999</v>
      </c>
      <c r="G557" s="26">
        <v>17.38</v>
      </c>
      <c r="I557" s="26" t="str">
        <f t="shared" si="17"/>
        <v>Y</v>
      </c>
    </row>
    <row r="558" spans="1:9" x14ac:dyDescent="0.15">
      <c r="A558" s="26">
        <f t="shared" si="16"/>
        <v>2923</v>
      </c>
      <c r="B558" s="27" t="s">
        <v>2360</v>
      </c>
      <c r="C558" s="26" t="s">
        <v>749</v>
      </c>
      <c r="D558" s="26">
        <v>-68</v>
      </c>
      <c r="E558" s="26">
        <v>103</v>
      </c>
      <c r="F558" s="26">
        <v>23.6</v>
      </c>
      <c r="G558" s="26">
        <v>21.42</v>
      </c>
      <c r="I558" s="26" t="str">
        <f t="shared" si="17"/>
        <v>Y</v>
      </c>
    </row>
    <row r="559" spans="1:9" x14ac:dyDescent="0.15">
      <c r="A559" s="26">
        <f t="shared" si="16"/>
        <v>2924</v>
      </c>
      <c r="B559" s="27" t="s">
        <v>2361</v>
      </c>
      <c r="C559" s="26" t="s">
        <v>750</v>
      </c>
      <c r="D559" s="26">
        <v>0</v>
      </c>
      <c r="E559" s="26">
        <v>0</v>
      </c>
      <c r="F559" s="26">
        <v>57.9</v>
      </c>
      <c r="G559" s="26">
        <v>58.7</v>
      </c>
      <c r="I559" s="26" t="str">
        <f t="shared" si="17"/>
        <v>-</v>
      </c>
    </row>
    <row r="560" spans="1:9" x14ac:dyDescent="0.15">
      <c r="A560" s="26">
        <f t="shared" si="16"/>
        <v>2926</v>
      </c>
      <c r="B560" s="27" t="s">
        <v>2362</v>
      </c>
      <c r="C560" s="26" t="s">
        <v>751</v>
      </c>
      <c r="D560" s="26">
        <v>-7</v>
      </c>
      <c r="E560" s="26">
        <v>0</v>
      </c>
      <c r="F560" s="26">
        <v>211.5</v>
      </c>
      <c r="G560" s="26">
        <v>208.63</v>
      </c>
      <c r="I560" s="26" t="str">
        <f t="shared" si="17"/>
        <v>Y</v>
      </c>
    </row>
    <row r="561" spans="1:9" x14ac:dyDescent="0.15">
      <c r="A561" s="26">
        <f t="shared" si="16"/>
        <v>2928</v>
      </c>
      <c r="B561" s="27" t="s">
        <v>2363</v>
      </c>
      <c r="C561" s="26" t="s">
        <v>752</v>
      </c>
      <c r="D561" s="26">
        <v>0</v>
      </c>
      <c r="E561" s="26">
        <v>0</v>
      </c>
      <c r="F561" s="26">
        <v>63.9</v>
      </c>
      <c r="G561" s="26">
        <v>61.21</v>
      </c>
      <c r="I561" s="26" t="str">
        <f t="shared" si="17"/>
        <v>Y</v>
      </c>
    </row>
    <row r="562" spans="1:9" x14ac:dyDescent="0.15">
      <c r="A562" s="26">
        <f t="shared" si="16"/>
        <v>2929</v>
      </c>
      <c r="B562" s="27" t="s">
        <v>2364</v>
      </c>
      <c r="C562" s="26" t="s">
        <v>753</v>
      </c>
      <c r="D562" s="26">
        <v>44</v>
      </c>
      <c r="E562" s="26">
        <v>0</v>
      </c>
      <c r="F562" s="26">
        <v>131.5</v>
      </c>
      <c r="G562" s="26">
        <v>126.88</v>
      </c>
      <c r="I562" s="26" t="str">
        <f t="shared" si="17"/>
        <v>Y</v>
      </c>
    </row>
    <row r="563" spans="1:9" x14ac:dyDescent="0.15">
      <c r="A563" s="26">
        <f t="shared" si="16"/>
        <v>3002</v>
      </c>
      <c r="B563" s="27" t="s">
        <v>2365</v>
      </c>
      <c r="C563" s="26" t="s">
        <v>754</v>
      </c>
      <c r="D563" s="26">
        <v>0</v>
      </c>
      <c r="E563" s="26">
        <v>0</v>
      </c>
      <c r="F563" s="26">
        <v>10.25</v>
      </c>
      <c r="G563" s="26">
        <v>10.24</v>
      </c>
      <c r="I563" s="26" t="str">
        <f t="shared" si="17"/>
        <v>Y</v>
      </c>
    </row>
    <row r="564" spans="1:9" x14ac:dyDescent="0.15">
      <c r="A564" s="26">
        <f t="shared" si="16"/>
        <v>3003</v>
      </c>
      <c r="B564" s="27" t="s">
        <v>2366</v>
      </c>
      <c r="C564" s="26" t="s">
        <v>755</v>
      </c>
      <c r="D564" s="26">
        <v>-43</v>
      </c>
      <c r="E564" s="26">
        <v>0</v>
      </c>
      <c r="F564" s="26">
        <v>37.9</v>
      </c>
      <c r="G564" s="26">
        <v>38.15</v>
      </c>
      <c r="I564" s="26" t="str">
        <f t="shared" si="17"/>
        <v>-</v>
      </c>
    </row>
    <row r="565" spans="1:9" x14ac:dyDescent="0.15">
      <c r="A565" s="26">
        <f t="shared" si="16"/>
        <v>3004</v>
      </c>
      <c r="B565" s="27" t="s">
        <v>2367</v>
      </c>
      <c r="C565" s="26" t="s">
        <v>756</v>
      </c>
      <c r="D565" s="26">
        <v>35</v>
      </c>
      <c r="E565" s="26">
        <v>0</v>
      </c>
      <c r="F565" s="26">
        <v>61.4</v>
      </c>
      <c r="G565" s="26">
        <v>60.54</v>
      </c>
      <c r="I565" s="26" t="str">
        <f t="shared" si="17"/>
        <v>Y</v>
      </c>
    </row>
    <row r="566" spans="1:9" x14ac:dyDescent="0.15">
      <c r="A566" s="26">
        <f t="shared" si="16"/>
        <v>3005</v>
      </c>
      <c r="B566" s="27" t="s">
        <v>2368</v>
      </c>
      <c r="C566" s="26" t="s">
        <v>757</v>
      </c>
      <c r="D566" s="26">
        <v>-58</v>
      </c>
      <c r="E566" s="26">
        <v>0</v>
      </c>
      <c r="F566" s="26">
        <v>21.45</v>
      </c>
      <c r="G566" s="26">
        <v>20.98</v>
      </c>
      <c r="I566" s="26" t="str">
        <f t="shared" si="17"/>
        <v>Y</v>
      </c>
    </row>
    <row r="567" spans="1:9" x14ac:dyDescent="0.15">
      <c r="A567" s="26">
        <f t="shared" si="16"/>
        <v>3006</v>
      </c>
      <c r="B567" s="27" t="s">
        <v>2369</v>
      </c>
      <c r="C567" s="26" t="s">
        <v>758</v>
      </c>
      <c r="D567" s="26">
        <v>101</v>
      </c>
      <c r="E567" s="26">
        <v>0</v>
      </c>
      <c r="F567" s="26">
        <v>29.5</v>
      </c>
      <c r="G567" s="26">
        <v>29.12</v>
      </c>
      <c r="I567" s="26" t="str">
        <f t="shared" si="17"/>
        <v>Y</v>
      </c>
    </row>
    <row r="568" spans="1:9" x14ac:dyDescent="0.15">
      <c r="A568" s="26">
        <f t="shared" si="16"/>
        <v>3008</v>
      </c>
      <c r="B568" s="27" t="s">
        <v>2370</v>
      </c>
      <c r="C568" s="26" t="s">
        <v>759</v>
      </c>
      <c r="D568" s="26">
        <v>-85</v>
      </c>
      <c r="E568" s="26">
        <v>-33</v>
      </c>
      <c r="F568" s="26">
        <v>2695</v>
      </c>
      <c r="G568" s="26">
        <v>2612.08</v>
      </c>
      <c r="I568" s="26" t="str">
        <f t="shared" si="17"/>
        <v>Y</v>
      </c>
    </row>
    <row r="569" spans="1:9" x14ac:dyDescent="0.15">
      <c r="A569" s="26">
        <f t="shared" si="16"/>
        <v>3010</v>
      </c>
      <c r="B569" s="27" t="s">
        <v>2371</v>
      </c>
      <c r="C569" s="26" t="s">
        <v>760</v>
      </c>
      <c r="D569" s="26">
        <v>72</v>
      </c>
      <c r="E569" s="26">
        <v>0</v>
      </c>
      <c r="F569" s="26">
        <v>45.85</v>
      </c>
      <c r="G569" s="26">
        <v>44.97</v>
      </c>
      <c r="I569" s="26" t="str">
        <f t="shared" si="17"/>
        <v>Y</v>
      </c>
    </row>
    <row r="570" spans="1:9" x14ac:dyDescent="0.15">
      <c r="A570" s="26">
        <f t="shared" si="16"/>
        <v>3011</v>
      </c>
      <c r="B570" s="27" t="s">
        <v>2372</v>
      </c>
      <c r="C570" s="26" t="s">
        <v>761</v>
      </c>
      <c r="D570" s="26">
        <v>-2</v>
      </c>
      <c r="E570" s="26">
        <v>0</v>
      </c>
      <c r="F570" s="26">
        <v>7.5</v>
      </c>
      <c r="G570" s="26">
        <v>7.42</v>
      </c>
      <c r="I570" s="26" t="str">
        <f t="shared" si="17"/>
        <v>Y</v>
      </c>
    </row>
    <row r="571" spans="1:9" x14ac:dyDescent="0.15">
      <c r="A571" s="26">
        <f t="shared" si="16"/>
        <v>3013</v>
      </c>
      <c r="B571" s="27" t="s">
        <v>2373</v>
      </c>
      <c r="C571" s="26" t="s">
        <v>762</v>
      </c>
      <c r="D571" s="26">
        <v>99</v>
      </c>
      <c r="E571" s="26">
        <v>0</v>
      </c>
      <c r="F571" s="26">
        <v>17.5</v>
      </c>
      <c r="G571" s="26">
        <v>16.68</v>
      </c>
      <c r="I571" s="26" t="str">
        <f t="shared" si="17"/>
        <v>Y</v>
      </c>
    </row>
    <row r="572" spans="1:9" x14ac:dyDescent="0.15">
      <c r="A572" s="26">
        <f t="shared" si="16"/>
        <v>3014</v>
      </c>
      <c r="B572" s="27" t="s">
        <v>2374</v>
      </c>
      <c r="C572" s="26" t="s">
        <v>763</v>
      </c>
      <c r="D572" s="26">
        <v>9</v>
      </c>
      <c r="E572" s="26">
        <v>0</v>
      </c>
      <c r="F572" s="26">
        <v>29.8</v>
      </c>
      <c r="G572" s="26">
        <v>29.38</v>
      </c>
      <c r="I572" s="26" t="str">
        <f t="shared" si="17"/>
        <v>Y</v>
      </c>
    </row>
    <row r="573" spans="1:9" x14ac:dyDescent="0.15">
      <c r="A573" s="26">
        <f t="shared" si="16"/>
        <v>3015</v>
      </c>
      <c r="B573" s="27" t="s">
        <v>2375</v>
      </c>
      <c r="C573" s="26" t="s">
        <v>764</v>
      </c>
      <c r="D573" s="26">
        <v>3</v>
      </c>
      <c r="E573" s="26">
        <v>0</v>
      </c>
      <c r="F573" s="26">
        <v>23</v>
      </c>
      <c r="G573" s="26">
        <v>23.16</v>
      </c>
      <c r="I573" s="26" t="str">
        <f t="shared" si="17"/>
        <v>-</v>
      </c>
    </row>
    <row r="574" spans="1:9" x14ac:dyDescent="0.15">
      <c r="A574" s="26">
        <f t="shared" si="16"/>
        <v>3016</v>
      </c>
      <c r="B574" s="27" t="s">
        <v>2376</v>
      </c>
      <c r="C574" s="26" t="s">
        <v>765</v>
      </c>
      <c r="D574" s="26">
        <v>32</v>
      </c>
      <c r="E574" s="26">
        <v>0</v>
      </c>
      <c r="F574" s="26">
        <v>17.850000000000001</v>
      </c>
      <c r="G574" s="26">
        <v>17.760000000000002</v>
      </c>
      <c r="I574" s="26" t="str">
        <f t="shared" si="17"/>
        <v>Y</v>
      </c>
    </row>
    <row r="575" spans="1:9" x14ac:dyDescent="0.15">
      <c r="A575" s="26">
        <f t="shared" si="16"/>
        <v>3017</v>
      </c>
      <c r="B575" s="27" t="s">
        <v>2377</v>
      </c>
      <c r="C575" s="26" t="s">
        <v>766</v>
      </c>
      <c r="D575" s="26">
        <v>64</v>
      </c>
      <c r="E575" s="26">
        <v>0</v>
      </c>
      <c r="F575" s="26">
        <v>29.8</v>
      </c>
      <c r="G575" s="26">
        <v>30.07</v>
      </c>
      <c r="I575" s="26" t="str">
        <f t="shared" si="17"/>
        <v>-</v>
      </c>
    </row>
    <row r="576" spans="1:9" x14ac:dyDescent="0.15">
      <c r="A576" s="26">
        <f t="shared" si="16"/>
        <v>3018</v>
      </c>
      <c r="B576" s="27" t="s">
        <v>2378</v>
      </c>
      <c r="C576" s="26" t="s">
        <v>767</v>
      </c>
      <c r="D576" s="26">
        <v>-5</v>
      </c>
      <c r="E576" s="26">
        <v>0</v>
      </c>
      <c r="F576" s="26">
        <v>17.45</v>
      </c>
      <c r="G576" s="26">
        <v>16.63</v>
      </c>
      <c r="I576" s="26" t="str">
        <f t="shared" si="17"/>
        <v>Y</v>
      </c>
    </row>
    <row r="577" spans="1:9" x14ac:dyDescent="0.15">
      <c r="A577" s="26">
        <f t="shared" si="16"/>
        <v>3019</v>
      </c>
      <c r="B577" s="27" t="s">
        <v>2379</v>
      </c>
      <c r="C577" s="26" t="s">
        <v>768</v>
      </c>
      <c r="D577" s="26">
        <v>-60</v>
      </c>
      <c r="E577" s="26">
        <v>0</v>
      </c>
      <c r="F577" s="26">
        <v>30.3</v>
      </c>
      <c r="G577" s="26">
        <v>30.58</v>
      </c>
      <c r="I577" s="26" t="str">
        <f t="shared" si="17"/>
        <v>-</v>
      </c>
    </row>
    <row r="578" spans="1:9" x14ac:dyDescent="0.15">
      <c r="A578" s="26">
        <f t="shared" si="16"/>
        <v>3021</v>
      </c>
      <c r="B578" s="27" t="s">
        <v>2380</v>
      </c>
      <c r="C578" s="26" t="s">
        <v>769</v>
      </c>
      <c r="D578" s="26">
        <v>0</v>
      </c>
      <c r="E578" s="26">
        <v>0</v>
      </c>
      <c r="F578" s="26">
        <v>11.7</v>
      </c>
      <c r="G578" s="26">
        <v>11.74</v>
      </c>
      <c r="I578" s="26" t="str">
        <f t="shared" si="17"/>
        <v>-</v>
      </c>
    </row>
    <row r="579" spans="1:9" x14ac:dyDescent="0.15">
      <c r="A579" s="26">
        <f t="shared" si="16"/>
        <v>3022</v>
      </c>
      <c r="B579" s="27" t="s">
        <v>2381</v>
      </c>
      <c r="C579" s="26" t="s">
        <v>770</v>
      </c>
      <c r="D579" s="26">
        <v>-55</v>
      </c>
      <c r="E579" s="26">
        <v>0</v>
      </c>
      <c r="F579" s="26">
        <v>40.5</v>
      </c>
      <c r="G579" s="26">
        <v>40.549999999999997</v>
      </c>
      <c r="I579" s="26" t="str">
        <f t="shared" si="17"/>
        <v>-</v>
      </c>
    </row>
    <row r="580" spans="1:9" x14ac:dyDescent="0.15">
      <c r="A580" s="26">
        <f t="shared" si="16"/>
        <v>3023</v>
      </c>
      <c r="B580" s="27" t="s">
        <v>2382</v>
      </c>
      <c r="C580" s="26" t="s">
        <v>771</v>
      </c>
      <c r="D580" s="26">
        <v>-329</v>
      </c>
      <c r="E580" s="26">
        <v>0</v>
      </c>
      <c r="F580" s="26">
        <v>65</v>
      </c>
      <c r="G580" s="26">
        <v>64.42</v>
      </c>
      <c r="I580" s="26" t="str">
        <f t="shared" si="17"/>
        <v>Y</v>
      </c>
    </row>
    <row r="581" spans="1:9" x14ac:dyDescent="0.15">
      <c r="A581" s="26">
        <f t="shared" si="16"/>
        <v>3024</v>
      </c>
      <c r="B581" s="27" t="s">
        <v>2383</v>
      </c>
      <c r="C581" s="26" t="s">
        <v>772</v>
      </c>
      <c r="D581" s="26">
        <v>6</v>
      </c>
      <c r="E581" s="26">
        <v>0</v>
      </c>
      <c r="F581" s="26">
        <v>3.82</v>
      </c>
      <c r="G581" s="26">
        <v>3.64</v>
      </c>
      <c r="I581" s="26" t="str">
        <f t="shared" si="17"/>
        <v>Y</v>
      </c>
    </row>
    <row r="582" spans="1:9" x14ac:dyDescent="0.15">
      <c r="A582" s="26">
        <f t="shared" si="16"/>
        <v>3025</v>
      </c>
      <c r="B582" s="27" t="s">
        <v>2384</v>
      </c>
      <c r="C582" s="26" t="s">
        <v>773</v>
      </c>
      <c r="D582" s="26">
        <v>0</v>
      </c>
      <c r="E582" s="26">
        <v>0</v>
      </c>
      <c r="F582" s="26">
        <v>11.75</v>
      </c>
      <c r="G582" s="26">
        <v>11.26</v>
      </c>
      <c r="I582" s="26" t="str">
        <f t="shared" si="17"/>
        <v>Y</v>
      </c>
    </row>
    <row r="583" spans="1:9" x14ac:dyDescent="0.15">
      <c r="A583" s="26">
        <f t="shared" ref="A583:A646" si="18">VALUE(B583)</f>
        <v>3026</v>
      </c>
      <c r="B583" s="27" t="s">
        <v>2385</v>
      </c>
      <c r="C583" s="26" t="s">
        <v>774</v>
      </c>
      <c r="D583" s="26">
        <v>16</v>
      </c>
      <c r="E583" s="26">
        <v>0</v>
      </c>
      <c r="F583" s="26">
        <v>35.299999999999997</v>
      </c>
      <c r="G583" s="26">
        <v>34.56</v>
      </c>
      <c r="I583" s="26" t="str">
        <f t="shared" ref="I583:I646" si="19">IF(F583&gt;G583,"Y","-")</f>
        <v>Y</v>
      </c>
    </row>
    <row r="584" spans="1:9" x14ac:dyDescent="0.15">
      <c r="A584" s="26">
        <f t="shared" si="18"/>
        <v>3027</v>
      </c>
      <c r="B584" s="27" t="s">
        <v>2386</v>
      </c>
      <c r="C584" s="26" t="s">
        <v>775</v>
      </c>
      <c r="D584" s="26">
        <v>21</v>
      </c>
      <c r="E584" s="26">
        <v>0</v>
      </c>
      <c r="F584" s="26">
        <v>14.65</v>
      </c>
      <c r="G584" s="26">
        <v>14.3</v>
      </c>
      <c r="I584" s="26" t="str">
        <f t="shared" si="19"/>
        <v>Y</v>
      </c>
    </row>
    <row r="585" spans="1:9" x14ac:dyDescent="0.15">
      <c r="A585" s="26">
        <f t="shared" si="18"/>
        <v>3028</v>
      </c>
      <c r="B585" s="27" t="s">
        <v>2387</v>
      </c>
      <c r="C585" s="26" t="s">
        <v>776</v>
      </c>
      <c r="D585" s="26">
        <v>-10</v>
      </c>
      <c r="E585" s="26">
        <v>0</v>
      </c>
      <c r="F585" s="26">
        <v>17.100000000000001</v>
      </c>
      <c r="G585" s="26">
        <v>16.72</v>
      </c>
      <c r="I585" s="26" t="str">
        <f t="shared" si="19"/>
        <v>Y</v>
      </c>
    </row>
    <row r="586" spans="1:9" x14ac:dyDescent="0.15">
      <c r="A586" s="26">
        <f t="shared" si="18"/>
        <v>3029</v>
      </c>
      <c r="B586" s="27" t="s">
        <v>2388</v>
      </c>
      <c r="C586" s="26" t="s">
        <v>777</v>
      </c>
      <c r="D586" s="26">
        <v>62</v>
      </c>
      <c r="E586" s="26">
        <v>0</v>
      </c>
      <c r="F586" s="26">
        <v>18.55</v>
      </c>
      <c r="G586" s="26">
        <v>18.05</v>
      </c>
      <c r="I586" s="26" t="str">
        <f t="shared" si="19"/>
        <v>Y</v>
      </c>
    </row>
    <row r="587" spans="1:9" x14ac:dyDescent="0.15">
      <c r="A587" s="26">
        <f t="shared" si="18"/>
        <v>3030</v>
      </c>
      <c r="B587" s="27" t="s">
        <v>2389</v>
      </c>
      <c r="C587" s="26" t="s">
        <v>778</v>
      </c>
      <c r="D587" s="26">
        <v>-20</v>
      </c>
      <c r="E587" s="26">
        <v>0</v>
      </c>
      <c r="F587" s="26">
        <v>50.2</v>
      </c>
      <c r="G587" s="26">
        <v>46.75</v>
      </c>
      <c r="I587" s="26" t="str">
        <f t="shared" si="19"/>
        <v>Y</v>
      </c>
    </row>
    <row r="588" spans="1:9" x14ac:dyDescent="0.15">
      <c r="A588" s="26">
        <f t="shared" si="18"/>
        <v>3031</v>
      </c>
      <c r="B588" s="27" t="s">
        <v>2390</v>
      </c>
      <c r="C588" s="26" t="s">
        <v>779</v>
      </c>
      <c r="D588" s="26">
        <v>2</v>
      </c>
      <c r="E588" s="26">
        <v>0</v>
      </c>
      <c r="F588" s="26">
        <v>9.23</v>
      </c>
      <c r="G588" s="26">
        <v>9.16</v>
      </c>
      <c r="I588" s="26" t="str">
        <f t="shared" si="19"/>
        <v>Y</v>
      </c>
    </row>
    <row r="589" spans="1:9" x14ac:dyDescent="0.15">
      <c r="A589" s="26">
        <f t="shared" si="18"/>
        <v>3032</v>
      </c>
      <c r="B589" s="27" t="s">
        <v>2391</v>
      </c>
      <c r="C589" s="26" t="s">
        <v>780</v>
      </c>
      <c r="D589" s="26">
        <v>-310</v>
      </c>
      <c r="E589" s="26">
        <v>0</v>
      </c>
      <c r="F589" s="26">
        <v>29.45</v>
      </c>
      <c r="G589" s="26">
        <v>26.96</v>
      </c>
      <c r="I589" s="26" t="str">
        <f t="shared" si="19"/>
        <v>Y</v>
      </c>
    </row>
    <row r="590" spans="1:9" x14ac:dyDescent="0.15">
      <c r="A590" s="26">
        <f t="shared" si="18"/>
        <v>3033</v>
      </c>
      <c r="B590" s="27" t="s">
        <v>2392</v>
      </c>
      <c r="C590" s="26" t="s">
        <v>781</v>
      </c>
      <c r="D590" s="26">
        <v>3</v>
      </c>
      <c r="E590" s="26">
        <v>0</v>
      </c>
      <c r="F590" s="26">
        <v>19.95</v>
      </c>
      <c r="G590" s="26">
        <v>19.72</v>
      </c>
      <c r="I590" s="26" t="str">
        <f t="shared" si="19"/>
        <v>Y</v>
      </c>
    </row>
    <row r="591" spans="1:9" x14ac:dyDescent="0.15">
      <c r="A591" s="26">
        <f t="shared" si="18"/>
        <v>3034</v>
      </c>
      <c r="B591" s="27" t="s">
        <v>2393</v>
      </c>
      <c r="C591" s="26" t="s">
        <v>782</v>
      </c>
      <c r="D591" s="26">
        <v>826</v>
      </c>
      <c r="E591" s="26">
        <v>-47</v>
      </c>
      <c r="F591" s="26">
        <v>135</v>
      </c>
      <c r="G591" s="26">
        <v>135.83000000000001</v>
      </c>
      <c r="I591" s="26" t="str">
        <f t="shared" si="19"/>
        <v>-</v>
      </c>
    </row>
    <row r="592" spans="1:9" x14ac:dyDescent="0.15">
      <c r="A592" s="26">
        <f t="shared" si="18"/>
        <v>3035</v>
      </c>
      <c r="B592" s="27" t="s">
        <v>2394</v>
      </c>
      <c r="C592" s="26" t="s">
        <v>783</v>
      </c>
      <c r="D592" s="26">
        <v>-10</v>
      </c>
      <c r="E592" s="26">
        <v>0</v>
      </c>
      <c r="F592" s="26">
        <v>47</v>
      </c>
      <c r="G592" s="26">
        <v>47.62</v>
      </c>
      <c r="I592" s="26" t="str">
        <f t="shared" si="19"/>
        <v>-</v>
      </c>
    </row>
    <row r="593" spans="1:9" x14ac:dyDescent="0.15">
      <c r="A593" s="26">
        <f t="shared" si="18"/>
        <v>3036</v>
      </c>
      <c r="B593" s="27" t="s">
        <v>2395</v>
      </c>
      <c r="C593" s="26" t="s">
        <v>784</v>
      </c>
      <c r="D593" s="26">
        <v>245</v>
      </c>
      <c r="E593" s="26">
        <v>-222</v>
      </c>
      <c r="F593" s="26">
        <v>38.5</v>
      </c>
      <c r="G593" s="26">
        <v>38.51</v>
      </c>
      <c r="I593" s="26" t="str">
        <f t="shared" si="19"/>
        <v>-</v>
      </c>
    </row>
    <row r="594" spans="1:9" x14ac:dyDescent="0.15">
      <c r="A594" s="26">
        <f t="shared" si="18"/>
        <v>3037</v>
      </c>
      <c r="B594" s="27" t="s">
        <v>2396</v>
      </c>
      <c r="C594" s="26" t="s">
        <v>785</v>
      </c>
      <c r="D594" s="26">
        <v>-651</v>
      </c>
      <c r="E594" s="26">
        <v>0</v>
      </c>
      <c r="F594" s="26">
        <v>16.7</v>
      </c>
      <c r="G594" s="26">
        <v>16.64</v>
      </c>
      <c r="I594" s="26" t="str">
        <f t="shared" si="19"/>
        <v>Y</v>
      </c>
    </row>
    <row r="595" spans="1:9" x14ac:dyDescent="0.15">
      <c r="A595" s="26">
        <f t="shared" si="18"/>
        <v>3038</v>
      </c>
      <c r="B595" s="27" t="s">
        <v>2397</v>
      </c>
      <c r="C595" s="26" t="s">
        <v>786</v>
      </c>
      <c r="D595" s="26">
        <v>-178</v>
      </c>
      <c r="E595" s="26">
        <v>0</v>
      </c>
      <c r="F595" s="26">
        <v>12.2</v>
      </c>
      <c r="G595" s="26">
        <v>11.32</v>
      </c>
      <c r="I595" s="26" t="str">
        <f t="shared" si="19"/>
        <v>Y</v>
      </c>
    </row>
    <row r="596" spans="1:9" x14ac:dyDescent="0.15">
      <c r="A596" s="26">
        <f t="shared" si="18"/>
        <v>3040</v>
      </c>
      <c r="B596" s="27" t="s">
        <v>2398</v>
      </c>
      <c r="C596" s="26" t="s">
        <v>787</v>
      </c>
      <c r="D596" s="26">
        <v>0</v>
      </c>
      <c r="E596" s="26">
        <v>0</v>
      </c>
      <c r="F596" s="26">
        <v>32.549999999999997</v>
      </c>
      <c r="G596" s="26">
        <v>31.18</v>
      </c>
      <c r="I596" s="26" t="str">
        <f t="shared" si="19"/>
        <v>Y</v>
      </c>
    </row>
    <row r="597" spans="1:9" x14ac:dyDescent="0.15">
      <c r="A597" s="26">
        <f t="shared" si="18"/>
        <v>3041</v>
      </c>
      <c r="B597" s="27" t="s">
        <v>2399</v>
      </c>
      <c r="C597" s="26" t="s">
        <v>788</v>
      </c>
      <c r="D597" s="26">
        <v>7</v>
      </c>
      <c r="E597" s="26">
        <v>-300</v>
      </c>
      <c r="F597" s="26">
        <v>25.6</v>
      </c>
      <c r="G597" s="26">
        <v>25.9</v>
      </c>
      <c r="I597" s="26" t="str">
        <f t="shared" si="19"/>
        <v>-</v>
      </c>
    </row>
    <row r="598" spans="1:9" x14ac:dyDescent="0.15">
      <c r="A598" s="26">
        <f t="shared" si="18"/>
        <v>3042</v>
      </c>
      <c r="B598" s="27" t="s">
        <v>2400</v>
      </c>
      <c r="C598" s="26" t="s">
        <v>789</v>
      </c>
      <c r="D598" s="26">
        <v>-22</v>
      </c>
      <c r="E598" s="26">
        <v>743</v>
      </c>
      <c r="F598" s="26">
        <v>39.450000000000003</v>
      </c>
      <c r="G598" s="26">
        <v>38.659999999999997</v>
      </c>
      <c r="I598" s="26" t="str">
        <f t="shared" si="19"/>
        <v>Y</v>
      </c>
    </row>
    <row r="599" spans="1:9" x14ac:dyDescent="0.15">
      <c r="A599" s="26">
        <f t="shared" si="18"/>
        <v>3043</v>
      </c>
      <c r="B599" s="27" t="s">
        <v>2401</v>
      </c>
      <c r="C599" s="26" t="s">
        <v>790</v>
      </c>
      <c r="D599" s="26">
        <v>0</v>
      </c>
      <c r="E599" s="26">
        <v>0</v>
      </c>
      <c r="F599" s="26">
        <v>2.77</v>
      </c>
      <c r="G599" s="26">
        <v>2.94</v>
      </c>
      <c r="I599" s="26" t="str">
        <f t="shared" si="19"/>
        <v>-</v>
      </c>
    </row>
    <row r="600" spans="1:9" x14ac:dyDescent="0.15">
      <c r="A600" s="26">
        <f t="shared" si="18"/>
        <v>3044</v>
      </c>
      <c r="B600" s="27" t="s">
        <v>2402</v>
      </c>
      <c r="C600" s="26" t="s">
        <v>791</v>
      </c>
      <c r="D600" s="26">
        <v>0</v>
      </c>
      <c r="E600" s="26">
        <v>0</v>
      </c>
      <c r="F600" s="26">
        <v>59</v>
      </c>
      <c r="G600" s="26">
        <v>58.7</v>
      </c>
      <c r="I600" s="26" t="str">
        <f t="shared" si="19"/>
        <v>Y</v>
      </c>
    </row>
    <row r="601" spans="1:9" x14ac:dyDescent="0.15">
      <c r="A601" s="26">
        <f t="shared" si="18"/>
        <v>3045</v>
      </c>
      <c r="B601" s="27" t="s">
        <v>2403</v>
      </c>
      <c r="C601" s="26" t="s">
        <v>792</v>
      </c>
      <c r="D601" s="26">
        <v>1205</v>
      </c>
      <c r="E601" s="26">
        <v>-57</v>
      </c>
      <c r="F601" s="26">
        <v>103.5</v>
      </c>
      <c r="G601" s="26">
        <v>102.25</v>
      </c>
      <c r="I601" s="26" t="str">
        <f t="shared" si="19"/>
        <v>Y</v>
      </c>
    </row>
    <row r="602" spans="1:9" x14ac:dyDescent="0.15">
      <c r="A602" s="26">
        <f t="shared" si="18"/>
        <v>3046</v>
      </c>
      <c r="B602" s="27" t="s">
        <v>2404</v>
      </c>
      <c r="C602" s="26" t="s">
        <v>793</v>
      </c>
      <c r="D602" s="26">
        <v>-16</v>
      </c>
      <c r="E602" s="26">
        <v>0</v>
      </c>
      <c r="F602" s="26">
        <v>8.84</v>
      </c>
      <c r="G602" s="26">
        <v>9.07</v>
      </c>
      <c r="I602" s="26" t="str">
        <f t="shared" si="19"/>
        <v>-</v>
      </c>
    </row>
    <row r="603" spans="1:9" x14ac:dyDescent="0.15">
      <c r="A603" s="26">
        <f t="shared" si="18"/>
        <v>3047</v>
      </c>
      <c r="B603" s="27" t="s">
        <v>2405</v>
      </c>
      <c r="C603" s="26" t="s">
        <v>794</v>
      </c>
      <c r="D603" s="26">
        <v>5</v>
      </c>
      <c r="E603" s="26">
        <v>0</v>
      </c>
      <c r="F603" s="26">
        <v>12</v>
      </c>
      <c r="G603" s="26">
        <v>11.76</v>
      </c>
      <c r="I603" s="26" t="str">
        <f t="shared" si="19"/>
        <v>Y</v>
      </c>
    </row>
    <row r="604" spans="1:9" x14ac:dyDescent="0.15">
      <c r="A604" s="26">
        <f t="shared" si="18"/>
        <v>3048</v>
      </c>
      <c r="B604" s="27" t="s">
        <v>2406</v>
      </c>
      <c r="C604" s="26" t="s">
        <v>795</v>
      </c>
      <c r="D604" s="26">
        <v>45</v>
      </c>
      <c r="E604" s="26">
        <v>0</v>
      </c>
      <c r="F604" s="26">
        <v>18.95</v>
      </c>
      <c r="G604" s="26">
        <v>18.850000000000001</v>
      </c>
      <c r="I604" s="26" t="str">
        <f t="shared" si="19"/>
        <v>Y</v>
      </c>
    </row>
    <row r="605" spans="1:9" x14ac:dyDescent="0.15">
      <c r="A605" s="26">
        <f t="shared" si="18"/>
        <v>3049</v>
      </c>
      <c r="B605" s="27" t="s">
        <v>2407</v>
      </c>
      <c r="C605" s="26" t="s">
        <v>796</v>
      </c>
      <c r="D605" s="26">
        <v>-719</v>
      </c>
      <c r="E605" s="26">
        <v>0</v>
      </c>
      <c r="F605" s="26">
        <v>8.5</v>
      </c>
      <c r="G605" s="26">
        <v>8.68</v>
      </c>
      <c r="I605" s="26" t="str">
        <f t="shared" si="19"/>
        <v>-</v>
      </c>
    </row>
    <row r="606" spans="1:9" x14ac:dyDescent="0.15">
      <c r="A606" s="26">
        <f t="shared" si="18"/>
        <v>3050</v>
      </c>
      <c r="B606" s="27" t="s">
        <v>2408</v>
      </c>
      <c r="C606" s="26" t="s">
        <v>797</v>
      </c>
      <c r="D606" s="26">
        <v>-46</v>
      </c>
      <c r="E606" s="26">
        <v>0</v>
      </c>
      <c r="F606" s="26">
        <v>8.52</v>
      </c>
      <c r="G606" s="26">
        <v>8.1199999999999992</v>
      </c>
      <c r="I606" s="26" t="str">
        <f t="shared" si="19"/>
        <v>Y</v>
      </c>
    </row>
    <row r="607" spans="1:9" x14ac:dyDescent="0.15">
      <c r="A607" s="26">
        <f t="shared" si="18"/>
        <v>3051</v>
      </c>
      <c r="B607" s="27" t="s">
        <v>2409</v>
      </c>
      <c r="C607" s="26" t="s">
        <v>798</v>
      </c>
      <c r="D607" s="26">
        <v>-3</v>
      </c>
      <c r="E607" s="26">
        <v>0</v>
      </c>
      <c r="F607" s="26">
        <v>6.35</v>
      </c>
      <c r="G607" s="26">
        <v>6.04</v>
      </c>
      <c r="I607" s="26" t="str">
        <f t="shared" si="19"/>
        <v>Y</v>
      </c>
    </row>
    <row r="608" spans="1:9" x14ac:dyDescent="0.15">
      <c r="A608" s="26">
        <f t="shared" si="18"/>
        <v>3052</v>
      </c>
      <c r="B608" s="27" t="s">
        <v>2410</v>
      </c>
      <c r="C608" s="26" t="s">
        <v>799</v>
      </c>
      <c r="D608" s="26">
        <v>281</v>
      </c>
      <c r="E608" s="26">
        <v>0</v>
      </c>
      <c r="F608" s="26">
        <v>9.6</v>
      </c>
      <c r="G608" s="26">
        <v>9.5299999999999994</v>
      </c>
      <c r="I608" s="26" t="str">
        <f t="shared" si="19"/>
        <v>Y</v>
      </c>
    </row>
    <row r="609" spans="1:9" x14ac:dyDescent="0.15">
      <c r="A609" s="26">
        <f t="shared" si="18"/>
        <v>3054</v>
      </c>
      <c r="B609" s="27" t="s">
        <v>2411</v>
      </c>
      <c r="C609" s="26" t="s">
        <v>800</v>
      </c>
      <c r="D609" s="26">
        <v>50</v>
      </c>
      <c r="E609" s="26">
        <v>0</v>
      </c>
      <c r="F609" s="26">
        <v>20.75</v>
      </c>
      <c r="G609" s="26">
        <v>20.05</v>
      </c>
      <c r="I609" s="26" t="str">
        <f t="shared" si="19"/>
        <v>Y</v>
      </c>
    </row>
    <row r="610" spans="1:9" x14ac:dyDescent="0.15">
      <c r="A610" s="26">
        <f t="shared" si="18"/>
        <v>3055</v>
      </c>
      <c r="B610" s="27" t="s">
        <v>2412</v>
      </c>
      <c r="C610" s="26" t="s">
        <v>801</v>
      </c>
      <c r="D610" s="26">
        <v>-25</v>
      </c>
      <c r="E610" s="26">
        <v>0</v>
      </c>
      <c r="F610" s="26">
        <v>20.85</v>
      </c>
      <c r="G610" s="26">
        <v>21.35</v>
      </c>
      <c r="I610" s="26" t="str">
        <f t="shared" si="19"/>
        <v>-</v>
      </c>
    </row>
    <row r="611" spans="1:9" x14ac:dyDescent="0.15">
      <c r="A611" s="26">
        <f t="shared" si="18"/>
        <v>3056</v>
      </c>
      <c r="B611" s="27" t="s">
        <v>2413</v>
      </c>
      <c r="C611" s="26" t="s">
        <v>802</v>
      </c>
      <c r="D611" s="26">
        <v>17</v>
      </c>
      <c r="E611" s="26">
        <v>0</v>
      </c>
      <c r="F611" s="26">
        <v>14.6</v>
      </c>
      <c r="G611" s="26">
        <v>12.76</v>
      </c>
      <c r="I611" s="26" t="str">
        <f t="shared" si="19"/>
        <v>Y</v>
      </c>
    </row>
    <row r="612" spans="1:9" x14ac:dyDescent="0.15">
      <c r="A612" s="26">
        <f t="shared" si="18"/>
        <v>3057</v>
      </c>
      <c r="B612" s="27" t="s">
        <v>2414</v>
      </c>
      <c r="C612" s="26" t="s">
        <v>803</v>
      </c>
      <c r="D612" s="26">
        <v>-176</v>
      </c>
      <c r="E612" s="26">
        <v>0</v>
      </c>
      <c r="F612" s="26">
        <v>19.25</v>
      </c>
      <c r="G612" s="26">
        <v>19.88</v>
      </c>
      <c r="I612" s="26" t="str">
        <f t="shared" si="19"/>
        <v>-</v>
      </c>
    </row>
    <row r="613" spans="1:9" x14ac:dyDescent="0.15">
      <c r="A613" s="26">
        <f t="shared" si="18"/>
        <v>3058</v>
      </c>
      <c r="B613" s="27" t="s">
        <v>2415</v>
      </c>
      <c r="C613" s="26" t="s">
        <v>804</v>
      </c>
      <c r="D613" s="26">
        <v>-7</v>
      </c>
      <c r="E613" s="26">
        <v>0</v>
      </c>
      <c r="F613" s="26">
        <v>9.1300000000000008</v>
      </c>
      <c r="G613" s="26">
        <v>8.9499999999999993</v>
      </c>
      <c r="I613" s="26" t="str">
        <f t="shared" si="19"/>
        <v>Y</v>
      </c>
    </row>
    <row r="614" spans="1:9" x14ac:dyDescent="0.15">
      <c r="A614" s="26">
        <f t="shared" si="18"/>
        <v>3059</v>
      </c>
      <c r="B614" s="27" t="s">
        <v>2416</v>
      </c>
      <c r="C614" s="26" t="s">
        <v>805</v>
      </c>
      <c r="D614" s="26">
        <v>57</v>
      </c>
      <c r="E614" s="26">
        <v>0</v>
      </c>
      <c r="F614" s="26">
        <v>29</v>
      </c>
      <c r="G614" s="26">
        <v>28.6</v>
      </c>
      <c r="I614" s="26" t="str">
        <f t="shared" si="19"/>
        <v>Y</v>
      </c>
    </row>
    <row r="615" spans="1:9" x14ac:dyDescent="0.15">
      <c r="A615" s="26">
        <f t="shared" si="18"/>
        <v>3060</v>
      </c>
      <c r="B615" s="27" t="s">
        <v>2417</v>
      </c>
      <c r="C615" s="26" t="s">
        <v>806</v>
      </c>
      <c r="D615" s="26">
        <v>52</v>
      </c>
      <c r="E615" s="26">
        <v>0</v>
      </c>
      <c r="F615" s="26">
        <v>54.6</v>
      </c>
      <c r="G615" s="26">
        <v>52.85</v>
      </c>
      <c r="I615" s="26" t="str">
        <f t="shared" si="19"/>
        <v>Y</v>
      </c>
    </row>
    <row r="616" spans="1:9" x14ac:dyDescent="0.15">
      <c r="A616" s="26">
        <f t="shared" si="18"/>
        <v>3062</v>
      </c>
      <c r="B616" s="27" t="s">
        <v>2418</v>
      </c>
      <c r="C616" s="26" t="s">
        <v>807</v>
      </c>
      <c r="D616" s="26">
        <v>-145</v>
      </c>
      <c r="E616" s="26">
        <v>0</v>
      </c>
      <c r="F616" s="26">
        <v>20.7</v>
      </c>
      <c r="G616" s="26">
        <v>21.01</v>
      </c>
      <c r="I616" s="26" t="str">
        <f t="shared" si="19"/>
        <v>-</v>
      </c>
    </row>
    <row r="617" spans="1:9" x14ac:dyDescent="0.15">
      <c r="A617" s="26">
        <f t="shared" si="18"/>
        <v>3064</v>
      </c>
      <c r="B617" s="27" t="s">
        <v>2419</v>
      </c>
      <c r="C617" s="26" t="s">
        <v>808</v>
      </c>
      <c r="D617" s="26">
        <v>0</v>
      </c>
      <c r="E617" s="26">
        <v>0</v>
      </c>
      <c r="F617" s="26">
        <v>50.9</v>
      </c>
      <c r="G617" s="26">
        <v>40.840000000000003</v>
      </c>
      <c r="I617" s="26" t="str">
        <f t="shared" si="19"/>
        <v>Y</v>
      </c>
    </row>
    <row r="618" spans="1:9" x14ac:dyDescent="0.15">
      <c r="A618" s="26">
        <f t="shared" si="18"/>
        <v>3066</v>
      </c>
      <c r="B618" s="27" t="s">
        <v>2420</v>
      </c>
      <c r="C618" s="26" t="s">
        <v>809</v>
      </c>
      <c r="D618" s="26">
        <v>2</v>
      </c>
      <c r="E618" s="26">
        <v>0</v>
      </c>
      <c r="F618" s="26">
        <v>7.9</v>
      </c>
      <c r="G618" s="26">
        <v>7.95</v>
      </c>
      <c r="I618" s="26" t="str">
        <f t="shared" si="19"/>
        <v>-</v>
      </c>
    </row>
    <row r="619" spans="1:9" x14ac:dyDescent="0.15">
      <c r="A619" s="26">
        <f t="shared" si="18"/>
        <v>3067</v>
      </c>
      <c r="B619" s="27" t="s">
        <v>2421</v>
      </c>
      <c r="C619" s="26" t="s">
        <v>810</v>
      </c>
      <c r="D619" s="26">
        <v>0</v>
      </c>
      <c r="E619" s="26">
        <v>0</v>
      </c>
      <c r="F619" s="26">
        <v>12.4</v>
      </c>
      <c r="G619" s="26">
        <v>12.35</v>
      </c>
      <c r="I619" s="26" t="str">
        <f t="shared" si="19"/>
        <v>Y</v>
      </c>
    </row>
    <row r="620" spans="1:9" x14ac:dyDescent="0.15">
      <c r="A620" s="26">
        <f t="shared" si="18"/>
        <v>3068</v>
      </c>
      <c r="B620" s="27" t="s">
        <v>2422</v>
      </c>
      <c r="C620" s="26" t="s">
        <v>811</v>
      </c>
      <c r="D620" s="26">
        <v>6</v>
      </c>
      <c r="E620" s="26">
        <v>0</v>
      </c>
      <c r="F620" s="26">
        <v>43.25</v>
      </c>
      <c r="G620" s="26">
        <v>44.24</v>
      </c>
      <c r="I620" s="26" t="str">
        <f t="shared" si="19"/>
        <v>-</v>
      </c>
    </row>
    <row r="621" spans="1:9" x14ac:dyDescent="0.15">
      <c r="A621" s="26">
        <f t="shared" si="18"/>
        <v>3071</v>
      </c>
      <c r="B621" s="27" t="s">
        <v>2423</v>
      </c>
      <c r="C621" s="26" t="s">
        <v>812</v>
      </c>
      <c r="D621" s="26">
        <v>22</v>
      </c>
      <c r="E621" s="26">
        <v>0</v>
      </c>
      <c r="F621" s="26">
        <v>6.85</v>
      </c>
      <c r="G621" s="26">
        <v>6.59</v>
      </c>
      <c r="I621" s="26" t="str">
        <f t="shared" si="19"/>
        <v>Y</v>
      </c>
    </row>
    <row r="622" spans="1:9" x14ac:dyDescent="0.15">
      <c r="A622" s="26">
        <f t="shared" si="18"/>
        <v>3073</v>
      </c>
      <c r="B622" s="27" t="s">
        <v>2424</v>
      </c>
      <c r="C622" s="26" t="s">
        <v>813</v>
      </c>
      <c r="D622" s="26">
        <v>4</v>
      </c>
      <c r="E622" s="26">
        <v>0</v>
      </c>
      <c r="F622" s="26">
        <v>9.1300000000000008</v>
      </c>
      <c r="G622" s="26">
        <v>9.35</v>
      </c>
      <c r="I622" s="26" t="str">
        <f t="shared" si="19"/>
        <v>-</v>
      </c>
    </row>
    <row r="623" spans="1:9" x14ac:dyDescent="0.15">
      <c r="A623" s="26">
        <f t="shared" si="18"/>
        <v>3078</v>
      </c>
      <c r="B623" s="27" t="s">
        <v>2425</v>
      </c>
      <c r="C623" s="26" t="s">
        <v>814</v>
      </c>
      <c r="D623" s="26">
        <v>107</v>
      </c>
      <c r="E623" s="26">
        <v>0</v>
      </c>
      <c r="F623" s="26">
        <v>24.45</v>
      </c>
      <c r="G623" s="26">
        <v>23.3</v>
      </c>
      <c r="I623" s="26" t="str">
        <f t="shared" si="19"/>
        <v>Y</v>
      </c>
    </row>
    <row r="624" spans="1:9" x14ac:dyDescent="0.15">
      <c r="A624" s="26">
        <f t="shared" si="18"/>
        <v>3081</v>
      </c>
      <c r="B624" s="27" t="s">
        <v>2426</v>
      </c>
      <c r="C624" s="26" t="s">
        <v>815</v>
      </c>
      <c r="D624" s="26">
        <v>-80</v>
      </c>
      <c r="E624" s="26">
        <v>0</v>
      </c>
      <c r="F624" s="26">
        <v>556</v>
      </c>
      <c r="G624" s="26">
        <v>561.25</v>
      </c>
      <c r="I624" s="26" t="str">
        <f t="shared" si="19"/>
        <v>-</v>
      </c>
    </row>
    <row r="625" spans="1:9" x14ac:dyDescent="0.15">
      <c r="A625" s="26">
        <f t="shared" si="18"/>
        <v>3083</v>
      </c>
      <c r="B625" s="27" t="s">
        <v>2427</v>
      </c>
      <c r="C625" s="26" t="s">
        <v>816</v>
      </c>
      <c r="D625" s="26">
        <v>-8</v>
      </c>
      <c r="E625" s="26">
        <v>0</v>
      </c>
      <c r="F625" s="26">
        <v>39.549999999999997</v>
      </c>
      <c r="G625" s="26">
        <v>39.130000000000003</v>
      </c>
      <c r="I625" s="26" t="str">
        <f t="shared" si="19"/>
        <v>Y</v>
      </c>
    </row>
    <row r="626" spans="1:9" x14ac:dyDescent="0.15">
      <c r="A626" s="26">
        <f t="shared" si="18"/>
        <v>3085</v>
      </c>
      <c r="B626" s="27" t="s">
        <v>2428</v>
      </c>
      <c r="C626" s="26" t="s">
        <v>817</v>
      </c>
      <c r="D626" s="26">
        <v>0</v>
      </c>
      <c r="E626" s="26">
        <v>0</v>
      </c>
      <c r="F626" s="26">
        <v>7.15</v>
      </c>
      <c r="G626" s="26">
        <v>6.65</v>
      </c>
      <c r="I626" s="26" t="str">
        <f t="shared" si="19"/>
        <v>Y</v>
      </c>
    </row>
    <row r="627" spans="1:9" x14ac:dyDescent="0.15">
      <c r="A627" s="26">
        <f t="shared" si="18"/>
        <v>3086</v>
      </c>
      <c r="B627" s="27" t="s">
        <v>2429</v>
      </c>
      <c r="C627" s="26" t="s">
        <v>818</v>
      </c>
      <c r="D627" s="26">
        <v>-6</v>
      </c>
      <c r="E627" s="26">
        <v>0</v>
      </c>
      <c r="F627" s="26">
        <v>12.5</v>
      </c>
      <c r="G627" s="26">
        <v>12.53</v>
      </c>
      <c r="I627" s="26" t="str">
        <f t="shared" si="19"/>
        <v>-</v>
      </c>
    </row>
    <row r="628" spans="1:9" x14ac:dyDescent="0.15">
      <c r="A628" s="26">
        <f t="shared" si="18"/>
        <v>3088</v>
      </c>
      <c r="B628" s="27" t="s">
        <v>2430</v>
      </c>
      <c r="C628" s="26" t="s">
        <v>819</v>
      </c>
      <c r="D628" s="26">
        <v>-74</v>
      </c>
      <c r="E628" s="26">
        <v>-51</v>
      </c>
      <c r="F628" s="26">
        <v>76</v>
      </c>
      <c r="G628" s="26">
        <v>72.989999999999995</v>
      </c>
      <c r="I628" s="26" t="str">
        <f t="shared" si="19"/>
        <v>Y</v>
      </c>
    </row>
    <row r="629" spans="1:9" x14ac:dyDescent="0.15">
      <c r="A629" s="26">
        <f t="shared" si="18"/>
        <v>3089</v>
      </c>
      <c r="B629" s="27" t="s">
        <v>2431</v>
      </c>
      <c r="C629" s="26" t="s">
        <v>820</v>
      </c>
      <c r="D629" s="26">
        <v>0</v>
      </c>
      <c r="E629" s="26">
        <v>0</v>
      </c>
      <c r="F629" s="26">
        <v>7.51</v>
      </c>
      <c r="G629" s="26">
        <v>8.44</v>
      </c>
      <c r="I629" s="26" t="str">
        <f t="shared" si="19"/>
        <v>-</v>
      </c>
    </row>
    <row r="630" spans="1:9" x14ac:dyDescent="0.15">
      <c r="A630" s="26">
        <f t="shared" si="18"/>
        <v>3090</v>
      </c>
      <c r="B630" s="27" t="s">
        <v>2432</v>
      </c>
      <c r="C630" s="26" t="s">
        <v>821</v>
      </c>
      <c r="D630" s="26">
        <v>-17</v>
      </c>
      <c r="E630" s="26">
        <v>0</v>
      </c>
      <c r="F630" s="26">
        <v>23.8</v>
      </c>
      <c r="G630" s="26">
        <v>23.08</v>
      </c>
      <c r="I630" s="26" t="str">
        <f t="shared" si="19"/>
        <v>Y</v>
      </c>
    </row>
    <row r="631" spans="1:9" x14ac:dyDescent="0.15">
      <c r="A631" s="26">
        <f t="shared" si="18"/>
        <v>3092</v>
      </c>
      <c r="B631" s="27" t="s">
        <v>2433</v>
      </c>
      <c r="C631" s="26" t="s">
        <v>822</v>
      </c>
      <c r="D631" s="26">
        <v>-13</v>
      </c>
      <c r="E631" s="26">
        <v>0</v>
      </c>
      <c r="F631" s="26">
        <v>14.95</v>
      </c>
      <c r="G631" s="26">
        <v>15.1</v>
      </c>
      <c r="I631" s="26" t="str">
        <f t="shared" si="19"/>
        <v>-</v>
      </c>
    </row>
    <row r="632" spans="1:9" x14ac:dyDescent="0.15">
      <c r="A632" s="26">
        <f t="shared" si="18"/>
        <v>3093</v>
      </c>
      <c r="B632" s="27" t="s">
        <v>2434</v>
      </c>
      <c r="C632" s="26" t="s">
        <v>823</v>
      </c>
      <c r="D632" s="26">
        <v>0</v>
      </c>
      <c r="E632" s="26">
        <v>0</v>
      </c>
      <c r="F632" s="26">
        <v>28.15</v>
      </c>
      <c r="G632" s="26">
        <v>28.04</v>
      </c>
      <c r="I632" s="26" t="str">
        <f t="shared" si="19"/>
        <v>Y</v>
      </c>
    </row>
    <row r="633" spans="1:9" x14ac:dyDescent="0.15">
      <c r="A633" s="26">
        <f t="shared" si="18"/>
        <v>3094</v>
      </c>
      <c r="B633" s="27" t="s">
        <v>2435</v>
      </c>
      <c r="C633" s="26" t="s">
        <v>824</v>
      </c>
      <c r="D633" s="26">
        <v>-8</v>
      </c>
      <c r="E633" s="26">
        <v>0</v>
      </c>
      <c r="F633" s="26">
        <v>25.95</v>
      </c>
      <c r="G633" s="26">
        <v>25.39</v>
      </c>
      <c r="I633" s="26" t="str">
        <f t="shared" si="19"/>
        <v>Y</v>
      </c>
    </row>
    <row r="634" spans="1:9" x14ac:dyDescent="0.15">
      <c r="A634" s="26">
        <f t="shared" si="18"/>
        <v>3095</v>
      </c>
      <c r="B634" s="27" t="s">
        <v>2436</v>
      </c>
      <c r="C634" s="26" t="s">
        <v>825</v>
      </c>
      <c r="D634" s="26">
        <v>-6</v>
      </c>
      <c r="E634" s="26">
        <v>0</v>
      </c>
      <c r="F634" s="26">
        <v>5.61</v>
      </c>
      <c r="G634" s="26">
        <v>5.83</v>
      </c>
      <c r="I634" s="26" t="str">
        <f t="shared" si="19"/>
        <v>-</v>
      </c>
    </row>
    <row r="635" spans="1:9" x14ac:dyDescent="0.15">
      <c r="A635" s="26">
        <f t="shared" si="18"/>
        <v>3105</v>
      </c>
      <c r="B635" s="27" t="s">
        <v>2437</v>
      </c>
      <c r="C635" s="26" t="s">
        <v>826</v>
      </c>
      <c r="D635" s="26">
        <v>581</v>
      </c>
      <c r="E635" s="26">
        <v>-310</v>
      </c>
      <c r="F635" s="26">
        <v>59.4</v>
      </c>
      <c r="G635" s="26">
        <v>56.11</v>
      </c>
      <c r="I635" s="26" t="str">
        <f t="shared" si="19"/>
        <v>Y</v>
      </c>
    </row>
    <row r="636" spans="1:9" x14ac:dyDescent="0.15">
      <c r="A636" s="26">
        <f t="shared" si="18"/>
        <v>3114</v>
      </c>
      <c r="B636" s="27" t="s">
        <v>2438</v>
      </c>
      <c r="C636" s="26" t="s">
        <v>827</v>
      </c>
      <c r="D636" s="26">
        <v>0</v>
      </c>
      <c r="E636" s="26">
        <v>0</v>
      </c>
      <c r="F636" s="26">
        <v>13.55</v>
      </c>
      <c r="G636" s="26">
        <v>13.17</v>
      </c>
      <c r="I636" s="26" t="str">
        <f t="shared" si="19"/>
        <v>Y</v>
      </c>
    </row>
    <row r="637" spans="1:9" x14ac:dyDescent="0.15">
      <c r="A637" s="26">
        <f t="shared" si="18"/>
        <v>3115</v>
      </c>
      <c r="B637" s="27" t="s">
        <v>2439</v>
      </c>
      <c r="C637" s="26" t="s">
        <v>828</v>
      </c>
      <c r="D637" s="26">
        <v>0</v>
      </c>
      <c r="E637" s="26">
        <v>0</v>
      </c>
      <c r="F637" s="26">
        <v>12.65</v>
      </c>
      <c r="G637" s="26">
        <v>13.01</v>
      </c>
      <c r="I637" s="26" t="str">
        <f t="shared" si="19"/>
        <v>-</v>
      </c>
    </row>
    <row r="638" spans="1:9" x14ac:dyDescent="0.15">
      <c r="A638" s="26">
        <f t="shared" si="18"/>
        <v>3118</v>
      </c>
      <c r="B638" s="27" t="s">
        <v>2440</v>
      </c>
      <c r="C638" s="26" t="s">
        <v>829</v>
      </c>
      <c r="D638" s="26">
        <v>13</v>
      </c>
      <c r="E638" s="26">
        <v>0</v>
      </c>
      <c r="F638" s="26">
        <v>38.950000000000003</v>
      </c>
      <c r="G638" s="26">
        <v>37.479999999999997</v>
      </c>
      <c r="I638" s="26" t="str">
        <f t="shared" si="19"/>
        <v>Y</v>
      </c>
    </row>
    <row r="639" spans="1:9" x14ac:dyDescent="0.15">
      <c r="A639" s="26">
        <f t="shared" si="18"/>
        <v>3122</v>
      </c>
      <c r="B639" s="27" t="s">
        <v>2441</v>
      </c>
      <c r="C639" s="26" t="s">
        <v>830</v>
      </c>
      <c r="D639" s="26">
        <v>-4</v>
      </c>
      <c r="E639" s="26">
        <v>0</v>
      </c>
      <c r="F639" s="26">
        <v>16.25</v>
      </c>
      <c r="G639" s="26">
        <v>15.64</v>
      </c>
      <c r="I639" s="26" t="str">
        <f t="shared" si="19"/>
        <v>Y</v>
      </c>
    </row>
    <row r="640" spans="1:9" x14ac:dyDescent="0.15">
      <c r="A640" s="26">
        <f t="shared" si="18"/>
        <v>3126</v>
      </c>
      <c r="B640" s="27" t="s">
        <v>2442</v>
      </c>
      <c r="C640" s="26" t="s">
        <v>3424</v>
      </c>
      <c r="I640" s="26" t="str">
        <f t="shared" si="19"/>
        <v>-</v>
      </c>
    </row>
    <row r="641" spans="1:9" x14ac:dyDescent="0.15">
      <c r="A641" s="26">
        <f t="shared" si="18"/>
        <v>3128</v>
      </c>
      <c r="B641" s="27" t="s">
        <v>2443</v>
      </c>
      <c r="C641" s="26" t="s">
        <v>831</v>
      </c>
      <c r="D641" s="26">
        <v>0</v>
      </c>
      <c r="E641" s="26">
        <v>0</v>
      </c>
      <c r="F641" s="26">
        <v>14.3</v>
      </c>
      <c r="G641" s="26">
        <v>14.33</v>
      </c>
      <c r="I641" s="26" t="str">
        <f t="shared" si="19"/>
        <v>-</v>
      </c>
    </row>
    <row r="642" spans="1:9" x14ac:dyDescent="0.15">
      <c r="A642" s="26">
        <f t="shared" si="18"/>
        <v>3130</v>
      </c>
      <c r="B642" s="27" t="s">
        <v>2444</v>
      </c>
      <c r="C642" s="26" t="s">
        <v>832</v>
      </c>
      <c r="D642" s="26">
        <v>10</v>
      </c>
      <c r="E642" s="26">
        <v>0</v>
      </c>
      <c r="F642" s="26">
        <v>142</v>
      </c>
      <c r="G642" s="26">
        <v>138.83000000000001</v>
      </c>
      <c r="I642" s="26" t="str">
        <f t="shared" si="19"/>
        <v>Y</v>
      </c>
    </row>
    <row r="643" spans="1:9" x14ac:dyDescent="0.15">
      <c r="A643" s="26">
        <f t="shared" si="18"/>
        <v>3131</v>
      </c>
      <c r="B643" s="27" t="s">
        <v>2445</v>
      </c>
      <c r="C643" s="26" t="s">
        <v>833</v>
      </c>
      <c r="D643" s="26">
        <v>9</v>
      </c>
      <c r="E643" s="26">
        <v>48</v>
      </c>
      <c r="F643" s="26">
        <v>242</v>
      </c>
      <c r="G643" s="26">
        <v>240.83</v>
      </c>
      <c r="I643" s="26" t="str">
        <f t="shared" si="19"/>
        <v>Y</v>
      </c>
    </row>
    <row r="644" spans="1:9" x14ac:dyDescent="0.15">
      <c r="A644" s="26">
        <f t="shared" si="18"/>
        <v>3141</v>
      </c>
      <c r="B644" s="27" t="s">
        <v>2446</v>
      </c>
      <c r="C644" s="26" t="s">
        <v>834</v>
      </c>
      <c r="D644" s="26">
        <v>-570</v>
      </c>
      <c r="E644" s="26">
        <v>0</v>
      </c>
      <c r="F644" s="26">
        <v>33</v>
      </c>
      <c r="G644" s="26">
        <v>32.049999999999997</v>
      </c>
      <c r="I644" s="26" t="str">
        <f t="shared" si="19"/>
        <v>Y</v>
      </c>
    </row>
    <row r="645" spans="1:9" x14ac:dyDescent="0.15">
      <c r="A645" s="26">
        <f t="shared" si="18"/>
        <v>3144</v>
      </c>
      <c r="B645" s="27" t="s">
        <v>2447</v>
      </c>
      <c r="C645" s="26" t="s">
        <v>835</v>
      </c>
      <c r="D645" s="26">
        <v>0</v>
      </c>
      <c r="E645" s="26">
        <v>0</v>
      </c>
      <c r="F645" s="26">
        <v>16.649999999999999</v>
      </c>
      <c r="G645" s="26">
        <v>15.71</v>
      </c>
      <c r="I645" s="26" t="str">
        <f t="shared" si="19"/>
        <v>Y</v>
      </c>
    </row>
    <row r="646" spans="1:9" x14ac:dyDescent="0.15">
      <c r="A646" s="26">
        <f t="shared" si="18"/>
        <v>3149</v>
      </c>
      <c r="B646" s="27" t="s">
        <v>2448</v>
      </c>
      <c r="C646" s="26" t="s">
        <v>836</v>
      </c>
      <c r="D646" s="26">
        <v>-29</v>
      </c>
      <c r="E646" s="26">
        <v>0</v>
      </c>
      <c r="F646" s="26">
        <v>12.9</v>
      </c>
      <c r="G646" s="26">
        <v>12.14</v>
      </c>
      <c r="I646" s="26" t="str">
        <f t="shared" si="19"/>
        <v>Y</v>
      </c>
    </row>
    <row r="647" spans="1:9" x14ac:dyDescent="0.15">
      <c r="A647" s="26">
        <f t="shared" ref="A647:A710" si="20">VALUE(B647)</f>
        <v>3152</v>
      </c>
      <c r="B647" s="27" t="s">
        <v>2449</v>
      </c>
      <c r="C647" s="26" t="s">
        <v>837</v>
      </c>
      <c r="D647" s="26">
        <v>-23</v>
      </c>
      <c r="E647" s="26">
        <v>-54</v>
      </c>
      <c r="F647" s="26">
        <v>188.5</v>
      </c>
      <c r="G647" s="26">
        <v>191.08</v>
      </c>
      <c r="I647" s="26" t="str">
        <f t="shared" ref="I647:I710" si="21">IF(F647&gt;G647,"Y","-")</f>
        <v>-</v>
      </c>
    </row>
    <row r="648" spans="1:9" x14ac:dyDescent="0.15">
      <c r="A648" s="26">
        <f t="shared" si="20"/>
        <v>3162</v>
      </c>
      <c r="B648" s="27" t="s">
        <v>2450</v>
      </c>
      <c r="C648" s="26" t="s">
        <v>838</v>
      </c>
      <c r="D648" s="26">
        <v>0</v>
      </c>
      <c r="E648" s="26">
        <v>0</v>
      </c>
      <c r="F648" s="26">
        <v>5.82</v>
      </c>
      <c r="G648" s="26">
        <v>5.53</v>
      </c>
      <c r="I648" s="26" t="str">
        <f t="shared" si="21"/>
        <v>Y</v>
      </c>
    </row>
    <row r="649" spans="1:9" x14ac:dyDescent="0.15">
      <c r="A649" s="26">
        <f t="shared" si="20"/>
        <v>3163</v>
      </c>
      <c r="B649" s="27" t="s">
        <v>2451</v>
      </c>
      <c r="C649" s="26" t="s">
        <v>839</v>
      </c>
      <c r="D649" s="26">
        <v>-47</v>
      </c>
      <c r="E649" s="26">
        <v>400</v>
      </c>
      <c r="F649" s="26">
        <v>42.5</v>
      </c>
      <c r="G649" s="26">
        <v>38.869999999999997</v>
      </c>
      <c r="I649" s="26" t="str">
        <f t="shared" si="21"/>
        <v>Y</v>
      </c>
    </row>
    <row r="650" spans="1:9" x14ac:dyDescent="0.15">
      <c r="A650" s="26">
        <f t="shared" si="20"/>
        <v>3164</v>
      </c>
      <c r="B650" s="27" t="s">
        <v>2452</v>
      </c>
      <c r="C650" s="26" t="s">
        <v>840</v>
      </c>
      <c r="D650" s="26">
        <v>8</v>
      </c>
      <c r="E650" s="26">
        <v>0</v>
      </c>
      <c r="F650" s="26">
        <v>26.75</v>
      </c>
      <c r="G650" s="26">
        <v>26.98</v>
      </c>
      <c r="I650" s="26" t="str">
        <f t="shared" si="21"/>
        <v>-</v>
      </c>
    </row>
    <row r="651" spans="1:9" x14ac:dyDescent="0.15">
      <c r="A651" s="26">
        <f t="shared" si="20"/>
        <v>3167</v>
      </c>
      <c r="B651" s="27" t="s">
        <v>2453</v>
      </c>
      <c r="C651" s="26" t="s">
        <v>841</v>
      </c>
      <c r="D651" s="26">
        <v>3</v>
      </c>
      <c r="E651" s="26">
        <v>0</v>
      </c>
      <c r="F651" s="26">
        <v>29.1</v>
      </c>
      <c r="G651" s="26">
        <v>28.22</v>
      </c>
      <c r="I651" s="26" t="str">
        <f t="shared" si="21"/>
        <v>Y</v>
      </c>
    </row>
    <row r="652" spans="1:9" x14ac:dyDescent="0.15">
      <c r="A652" s="26">
        <f t="shared" si="20"/>
        <v>3169</v>
      </c>
      <c r="B652" s="27" t="s">
        <v>2454</v>
      </c>
      <c r="C652" s="26" t="s">
        <v>842</v>
      </c>
      <c r="D652" s="26">
        <v>-13</v>
      </c>
      <c r="E652" s="26">
        <v>0</v>
      </c>
      <c r="F652" s="26">
        <v>29.1</v>
      </c>
      <c r="G652" s="26">
        <v>28.01</v>
      </c>
      <c r="I652" s="26" t="str">
        <f t="shared" si="21"/>
        <v>Y</v>
      </c>
    </row>
    <row r="653" spans="1:9" x14ac:dyDescent="0.15">
      <c r="A653" s="26">
        <f t="shared" si="20"/>
        <v>3171</v>
      </c>
      <c r="B653" s="27" t="s">
        <v>2455</v>
      </c>
      <c r="C653" s="26" t="s">
        <v>843</v>
      </c>
      <c r="D653" s="26">
        <v>0</v>
      </c>
      <c r="E653" s="26">
        <v>0</v>
      </c>
      <c r="F653" s="26">
        <v>19.95</v>
      </c>
      <c r="G653" s="26">
        <v>19.46</v>
      </c>
      <c r="I653" s="26" t="str">
        <f t="shared" si="21"/>
        <v>Y</v>
      </c>
    </row>
    <row r="654" spans="1:9" x14ac:dyDescent="0.15">
      <c r="A654" s="26">
        <f t="shared" si="20"/>
        <v>3176</v>
      </c>
      <c r="B654" s="27" t="s">
        <v>2456</v>
      </c>
      <c r="C654" s="26" t="s">
        <v>844</v>
      </c>
      <c r="D654" s="26">
        <v>7</v>
      </c>
      <c r="E654" s="26">
        <v>0</v>
      </c>
      <c r="F654" s="26">
        <v>74.900000000000006</v>
      </c>
      <c r="G654" s="26">
        <v>74.23</v>
      </c>
      <c r="I654" s="26" t="str">
        <f t="shared" si="21"/>
        <v>Y</v>
      </c>
    </row>
    <row r="655" spans="1:9" x14ac:dyDescent="0.15">
      <c r="A655" s="26">
        <f t="shared" si="20"/>
        <v>3188</v>
      </c>
      <c r="B655" s="27" t="s">
        <v>2457</v>
      </c>
      <c r="C655" s="26" t="s">
        <v>845</v>
      </c>
      <c r="D655" s="26">
        <v>5</v>
      </c>
      <c r="E655" s="26">
        <v>0</v>
      </c>
      <c r="F655" s="26">
        <v>9.6</v>
      </c>
      <c r="G655" s="26">
        <v>9.4700000000000006</v>
      </c>
      <c r="I655" s="26" t="str">
        <f t="shared" si="21"/>
        <v>Y</v>
      </c>
    </row>
    <row r="656" spans="1:9" x14ac:dyDescent="0.15">
      <c r="A656" s="26">
        <f t="shared" si="20"/>
        <v>3189</v>
      </c>
      <c r="B656" s="27" t="s">
        <v>2458</v>
      </c>
      <c r="C656" s="26" t="s">
        <v>846</v>
      </c>
      <c r="D656" s="26">
        <v>-113</v>
      </c>
      <c r="E656" s="26">
        <v>0</v>
      </c>
      <c r="F656" s="26">
        <v>75.8</v>
      </c>
      <c r="G656" s="26">
        <v>76.22</v>
      </c>
      <c r="I656" s="26" t="str">
        <f t="shared" si="21"/>
        <v>-</v>
      </c>
    </row>
    <row r="657" spans="1:9" x14ac:dyDescent="0.15">
      <c r="A657" s="26">
        <f t="shared" si="20"/>
        <v>3191</v>
      </c>
      <c r="B657" s="27" t="s">
        <v>2459</v>
      </c>
      <c r="C657" s="26" t="s">
        <v>847</v>
      </c>
      <c r="D657" s="26">
        <v>10</v>
      </c>
      <c r="E657" s="26">
        <v>0</v>
      </c>
      <c r="F657" s="26">
        <v>18.649999999999999</v>
      </c>
      <c r="G657" s="26">
        <v>18</v>
      </c>
      <c r="I657" s="26" t="str">
        <f t="shared" si="21"/>
        <v>Y</v>
      </c>
    </row>
    <row r="658" spans="1:9" x14ac:dyDescent="0.15">
      <c r="A658" s="26">
        <f t="shared" si="20"/>
        <v>3202</v>
      </c>
      <c r="B658" s="27" t="s">
        <v>2460</v>
      </c>
      <c r="C658" s="26" t="s">
        <v>848</v>
      </c>
      <c r="D658" s="26">
        <v>34</v>
      </c>
      <c r="E658" s="26">
        <v>0</v>
      </c>
      <c r="F658" s="26">
        <v>10.45</v>
      </c>
      <c r="G658" s="26">
        <v>9.32</v>
      </c>
      <c r="I658" s="26" t="str">
        <f t="shared" si="21"/>
        <v>Y</v>
      </c>
    </row>
    <row r="659" spans="1:9" x14ac:dyDescent="0.15">
      <c r="A659" s="26">
        <f t="shared" si="20"/>
        <v>3205</v>
      </c>
      <c r="B659" s="27" t="s">
        <v>2461</v>
      </c>
      <c r="C659" s="26" t="s">
        <v>849</v>
      </c>
      <c r="D659" s="26">
        <v>4</v>
      </c>
      <c r="E659" s="26">
        <v>0</v>
      </c>
      <c r="F659" s="26">
        <v>320</v>
      </c>
      <c r="G659" s="26">
        <v>313.54000000000002</v>
      </c>
      <c r="I659" s="26" t="str">
        <f t="shared" si="21"/>
        <v>Y</v>
      </c>
    </row>
    <row r="660" spans="1:9" x14ac:dyDescent="0.15">
      <c r="A660" s="26">
        <f t="shared" si="20"/>
        <v>3206</v>
      </c>
      <c r="B660" s="27" t="s">
        <v>2462</v>
      </c>
      <c r="C660" s="26" t="s">
        <v>850</v>
      </c>
      <c r="D660" s="26">
        <v>0</v>
      </c>
      <c r="E660" s="26">
        <v>0</v>
      </c>
      <c r="F660" s="26">
        <v>23.1</v>
      </c>
      <c r="G660" s="26">
        <v>22.5</v>
      </c>
      <c r="I660" s="26" t="str">
        <f t="shared" si="21"/>
        <v>Y</v>
      </c>
    </row>
    <row r="661" spans="1:9" x14ac:dyDescent="0.15">
      <c r="A661" s="26">
        <f t="shared" si="20"/>
        <v>3207</v>
      </c>
      <c r="B661" s="27" t="s">
        <v>2463</v>
      </c>
      <c r="C661" s="26" t="s">
        <v>851</v>
      </c>
      <c r="D661" s="26">
        <v>-2</v>
      </c>
      <c r="E661" s="26">
        <v>0</v>
      </c>
      <c r="F661" s="26">
        <v>7.06</v>
      </c>
      <c r="G661" s="26">
        <v>7</v>
      </c>
      <c r="I661" s="26" t="str">
        <f t="shared" si="21"/>
        <v>Y</v>
      </c>
    </row>
    <row r="662" spans="1:9" x14ac:dyDescent="0.15">
      <c r="A662" s="26">
        <f t="shared" si="20"/>
        <v>3209</v>
      </c>
      <c r="B662" s="27" t="s">
        <v>2464</v>
      </c>
      <c r="C662" s="26" t="s">
        <v>852</v>
      </c>
      <c r="D662" s="26">
        <v>6</v>
      </c>
      <c r="E662" s="26">
        <v>0</v>
      </c>
      <c r="F662" s="26">
        <v>28.75</v>
      </c>
      <c r="G662" s="26">
        <v>27.81</v>
      </c>
      <c r="I662" s="26" t="str">
        <f t="shared" si="21"/>
        <v>Y</v>
      </c>
    </row>
    <row r="663" spans="1:9" x14ac:dyDescent="0.15">
      <c r="A663" s="26">
        <f t="shared" si="20"/>
        <v>3211</v>
      </c>
      <c r="B663" s="27" t="s">
        <v>2465</v>
      </c>
      <c r="C663" s="26" t="s">
        <v>853</v>
      </c>
      <c r="D663" s="26">
        <v>129</v>
      </c>
      <c r="E663" s="26">
        <v>0</v>
      </c>
      <c r="F663" s="26">
        <v>51.6</v>
      </c>
      <c r="G663" s="26">
        <v>48.4</v>
      </c>
      <c r="I663" s="26" t="str">
        <f t="shared" si="21"/>
        <v>Y</v>
      </c>
    </row>
    <row r="664" spans="1:9" x14ac:dyDescent="0.15">
      <c r="A664" s="26">
        <f t="shared" si="20"/>
        <v>3213</v>
      </c>
      <c r="B664" s="27" t="s">
        <v>2466</v>
      </c>
      <c r="C664" s="26" t="s">
        <v>854</v>
      </c>
      <c r="D664" s="26">
        <v>1</v>
      </c>
      <c r="E664" s="26">
        <v>0</v>
      </c>
      <c r="F664" s="26">
        <v>40.5</v>
      </c>
      <c r="G664" s="26">
        <v>39.64</v>
      </c>
      <c r="I664" s="26" t="str">
        <f t="shared" si="21"/>
        <v>Y</v>
      </c>
    </row>
    <row r="665" spans="1:9" x14ac:dyDescent="0.15">
      <c r="A665" s="26">
        <f t="shared" si="20"/>
        <v>3217</v>
      </c>
      <c r="B665" s="27" t="s">
        <v>2467</v>
      </c>
      <c r="C665" s="26" t="s">
        <v>855</v>
      </c>
      <c r="D665" s="26">
        <v>0</v>
      </c>
      <c r="E665" s="26">
        <v>0</v>
      </c>
      <c r="F665" s="26">
        <v>13.25</v>
      </c>
      <c r="G665" s="26">
        <v>13.19</v>
      </c>
      <c r="I665" s="26" t="str">
        <f t="shared" si="21"/>
        <v>Y</v>
      </c>
    </row>
    <row r="666" spans="1:9" x14ac:dyDescent="0.15">
      <c r="A666" s="26">
        <f t="shared" si="20"/>
        <v>3218</v>
      </c>
      <c r="B666" s="27" t="s">
        <v>2468</v>
      </c>
      <c r="C666" s="26" t="s">
        <v>856</v>
      </c>
      <c r="D666" s="26">
        <v>0</v>
      </c>
      <c r="E666" s="26">
        <v>0</v>
      </c>
      <c r="F666" s="26">
        <v>25.1</v>
      </c>
      <c r="G666" s="26">
        <v>24.57</v>
      </c>
      <c r="I666" s="26" t="str">
        <f t="shared" si="21"/>
        <v>Y</v>
      </c>
    </row>
    <row r="667" spans="1:9" x14ac:dyDescent="0.15">
      <c r="A667" s="26">
        <f t="shared" si="20"/>
        <v>3219</v>
      </c>
      <c r="B667" s="27" t="s">
        <v>2469</v>
      </c>
      <c r="C667" s="26" t="s">
        <v>857</v>
      </c>
      <c r="D667" s="26">
        <v>0</v>
      </c>
      <c r="E667" s="26">
        <v>0</v>
      </c>
      <c r="F667" s="26">
        <v>9.8800000000000008</v>
      </c>
      <c r="G667" s="26">
        <v>9.7899999999999991</v>
      </c>
      <c r="I667" s="26" t="str">
        <f t="shared" si="21"/>
        <v>Y</v>
      </c>
    </row>
    <row r="668" spans="1:9" x14ac:dyDescent="0.15">
      <c r="A668" s="26">
        <f t="shared" si="20"/>
        <v>3221</v>
      </c>
      <c r="B668" s="27" t="s">
        <v>2470</v>
      </c>
      <c r="C668" s="26" t="s">
        <v>858</v>
      </c>
      <c r="D668" s="26">
        <v>-333</v>
      </c>
      <c r="E668" s="26">
        <v>0</v>
      </c>
      <c r="F668" s="26">
        <v>24.35</v>
      </c>
      <c r="G668" s="26">
        <v>25.58</v>
      </c>
      <c r="I668" s="26" t="str">
        <f t="shared" si="21"/>
        <v>-</v>
      </c>
    </row>
    <row r="669" spans="1:9" x14ac:dyDescent="0.15">
      <c r="A669" s="26">
        <f t="shared" si="20"/>
        <v>3224</v>
      </c>
      <c r="B669" s="27" t="s">
        <v>2471</v>
      </c>
      <c r="C669" s="26" t="s">
        <v>859</v>
      </c>
      <c r="D669" s="26">
        <v>-9</v>
      </c>
      <c r="E669" s="26">
        <v>0</v>
      </c>
      <c r="F669" s="26">
        <v>32.65</v>
      </c>
      <c r="G669" s="26">
        <v>32.11</v>
      </c>
      <c r="I669" s="26" t="str">
        <f t="shared" si="21"/>
        <v>Y</v>
      </c>
    </row>
    <row r="670" spans="1:9" x14ac:dyDescent="0.15">
      <c r="A670" s="26">
        <f t="shared" si="20"/>
        <v>3226</v>
      </c>
      <c r="B670" s="27" t="s">
        <v>2472</v>
      </c>
      <c r="C670" s="26" t="s">
        <v>860</v>
      </c>
      <c r="D670" s="26">
        <v>2</v>
      </c>
      <c r="E670" s="26">
        <v>0</v>
      </c>
      <c r="F670" s="26">
        <v>76.2</v>
      </c>
      <c r="G670" s="26">
        <v>75.03</v>
      </c>
      <c r="I670" s="26" t="str">
        <f t="shared" si="21"/>
        <v>Y</v>
      </c>
    </row>
    <row r="671" spans="1:9" x14ac:dyDescent="0.15">
      <c r="A671" s="26">
        <f t="shared" si="20"/>
        <v>3227</v>
      </c>
      <c r="B671" s="27" t="s">
        <v>2473</v>
      </c>
      <c r="C671" s="26" t="s">
        <v>861</v>
      </c>
      <c r="D671" s="26">
        <v>67</v>
      </c>
      <c r="E671" s="26">
        <v>0</v>
      </c>
      <c r="F671" s="26">
        <v>74.3</v>
      </c>
      <c r="G671" s="26">
        <v>75.819999999999993</v>
      </c>
      <c r="I671" s="26" t="str">
        <f t="shared" si="21"/>
        <v>-</v>
      </c>
    </row>
    <row r="672" spans="1:9" x14ac:dyDescent="0.15">
      <c r="A672" s="26">
        <f t="shared" si="20"/>
        <v>3228</v>
      </c>
      <c r="B672" s="27" t="s">
        <v>2474</v>
      </c>
      <c r="C672" s="26" t="s">
        <v>862</v>
      </c>
      <c r="D672" s="26">
        <v>0</v>
      </c>
      <c r="E672" s="26">
        <v>0</v>
      </c>
      <c r="F672" s="26">
        <v>19</v>
      </c>
      <c r="G672" s="26">
        <v>18.989999999999998</v>
      </c>
      <c r="I672" s="26" t="str">
        <f t="shared" si="21"/>
        <v>Y</v>
      </c>
    </row>
    <row r="673" spans="1:9" x14ac:dyDescent="0.15">
      <c r="A673" s="26">
        <f t="shared" si="20"/>
        <v>3229</v>
      </c>
      <c r="B673" s="27" t="s">
        <v>2475</v>
      </c>
      <c r="C673" s="26" t="s">
        <v>863</v>
      </c>
      <c r="D673" s="26">
        <v>13</v>
      </c>
      <c r="E673" s="26">
        <v>0</v>
      </c>
      <c r="F673" s="26">
        <v>15.25</v>
      </c>
      <c r="G673" s="26">
        <v>13.84</v>
      </c>
      <c r="I673" s="26" t="str">
        <f t="shared" si="21"/>
        <v>Y</v>
      </c>
    </row>
    <row r="674" spans="1:9" x14ac:dyDescent="0.15">
      <c r="A674" s="26">
        <f t="shared" si="20"/>
        <v>3230</v>
      </c>
      <c r="B674" s="27" t="s">
        <v>2476</v>
      </c>
      <c r="C674" s="26" t="s">
        <v>864</v>
      </c>
      <c r="D674" s="26">
        <v>1</v>
      </c>
      <c r="E674" s="26">
        <v>0</v>
      </c>
      <c r="F674" s="26">
        <v>5.94</v>
      </c>
      <c r="G674" s="26">
        <v>5.77</v>
      </c>
      <c r="I674" s="26" t="str">
        <f t="shared" si="21"/>
        <v>Y</v>
      </c>
    </row>
    <row r="675" spans="1:9" x14ac:dyDescent="0.15">
      <c r="A675" s="26">
        <f t="shared" si="20"/>
        <v>3231</v>
      </c>
      <c r="B675" s="27" t="s">
        <v>2477</v>
      </c>
      <c r="C675" s="26" t="s">
        <v>865</v>
      </c>
      <c r="D675" s="26">
        <v>17812</v>
      </c>
      <c r="E675" s="26">
        <v>0</v>
      </c>
      <c r="F675" s="26">
        <v>21</v>
      </c>
      <c r="G675" s="26">
        <v>19.68</v>
      </c>
      <c r="I675" s="26" t="str">
        <f t="shared" si="21"/>
        <v>Y</v>
      </c>
    </row>
    <row r="676" spans="1:9" x14ac:dyDescent="0.15">
      <c r="A676" s="26">
        <f t="shared" si="20"/>
        <v>3232</v>
      </c>
      <c r="B676" s="27" t="s">
        <v>2478</v>
      </c>
      <c r="C676" s="26" t="s">
        <v>866</v>
      </c>
      <c r="D676" s="26">
        <v>10</v>
      </c>
      <c r="E676" s="26">
        <v>0</v>
      </c>
      <c r="F676" s="26">
        <v>24.45</v>
      </c>
      <c r="G676" s="26">
        <v>23.07</v>
      </c>
      <c r="I676" s="26" t="str">
        <f t="shared" si="21"/>
        <v>Y</v>
      </c>
    </row>
    <row r="677" spans="1:9" x14ac:dyDescent="0.15">
      <c r="A677" s="26">
        <f t="shared" si="20"/>
        <v>3234</v>
      </c>
      <c r="B677" s="27" t="s">
        <v>2479</v>
      </c>
      <c r="C677" s="26" t="s">
        <v>867</v>
      </c>
      <c r="D677" s="26">
        <v>949</v>
      </c>
      <c r="E677" s="26">
        <v>-250</v>
      </c>
      <c r="F677" s="26">
        <v>96.8</v>
      </c>
      <c r="G677" s="26">
        <v>96.02</v>
      </c>
      <c r="I677" s="26" t="str">
        <f t="shared" si="21"/>
        <v>Y</v>
      </c>
    </row>
    <row r="678" spans="1:9" x14ac:dyDescent="0.15">
      <c r="A678" s="26">
        <f t="shared" si="20"/>
        <v>3236</v>
      </c>
      <c r="B678" s="27" t="s">
        <v>2480</v>
      </c>
      <c r="C678" s="26" t="s">
        <v>868</v>
      </c>
      <c r="D678" s="26">
        <v>-2</v>
      </c>
      <c r="E678" s="26">
        <v>0</v>
      </c>
      <c r="F678" s="26">
        <v>13.35</v>
      </c>
      <c r="G678" s="26">
        <v>13.16</v>
      </c>
      <c r="I678" s="26" t="str">
        <f t="shared" si="21"/>
        <v>Y</v>
      </c>
    </row>
    <row r="679" spans="1:9" x14ac:dyDescent="0.15">
      <c r="A679" s="26">
        <f t="shared" si="20"/>
        <v>3252</v>
      </c>
      <c r="B679" s="27" t="s">
        <v>2481</v>
      </c>
      <c r="C679" s="26" t="s">
        <v>869</v>
      </c>
      <c r="D679" s="26">
        <v>-32</v>
      </c>
      <c r="E679" s="26">
        <v>0</v>
      </c>
      <c r="F679" s="26">
        <v>18.649999999999999</v>
      </c>
      <c r="G679" s="26">
        <v>19.03</v>
      </c>
      <c r="I679" s="26" t="str">
        <f t="shared" si="21"/>
        <v>-</v>
      </c>
    </row>
    <row r="680" spans="1:9" x14ac:dyDescent="0.15">
      <c r="A680" s="26">
        <f t="shared" si="20"/>
        <v>3257</v>
      </c>
      <c r="B680" s="27" t="s">
        <v>2482</v>
      </c>
      <c r="C680" s="26" t="s">
        <v>870</v>
      </c>
      <c r="D680" s="26">
        <v>7</v>
      </c>
      <c r="E680" s="26">
        <v>0</v>
      </c>
      <c r="F680" s="26">
        <v>43.4</v>
      </c>
      <c r="G680" s="26">
        <v>42.29</v>
      </c>
      <c r="I680" s="26" t="str">
        <f t="shared" si="21"/>
        <v>Y</v>
      </c>
    </row>
    <row r="681" spans="1:9" x14ac:dyDescent="0.15">
      <c r="A681" s="26">
        <f t="shared" si="20"/>
        <v>3259</v>
      </c>
      <c r="B681" s="27" t="s">
        <v>2483</v>
      </c>
      <c r="C681" s="26" t="s">
        <v>871</v>
      </c>
      <c r="D681" s="26">
        <v>-1</v>
      </c>
      <c r="E681" s="26">
        <v>0</v>
      </c>
      <c r="F681" s="26">
        <v>36.5</v>
      </c>
      <c r="G681" s="26">
        <v>34.28</v>
      </c>
      <c r="I681" s="26" t="str">
        <f t="shared" si="21"/>
        <v>Y</v>
      </c>
    </row>
    <row r="682" spans="1:9" x14ac:dyDescent="0.15">
      <c r="A682" s="26">
        <f t="shared" si="20"/>
        <v>3260</v>
      </c>
      <c r="B682" s="27" t="s">
        <v>2484</v>
      </c>
      <c r="C682" s="26" t="s">
        <v>872</v>
      </c>
      <c r="D682" s="26">
        <v>39</v>
      </c>
      <c r="E682" s="26">
        <v>0</v>
      </c>
      <c r="F682" s="26">
        <v>34.950000000000003</v>
      </c>
      <c r="G682" s="26">
        <v>33.65</v>
      </c>
      <c r="I682" s="26" t="str">
        <f t="shared" si="21"/>
        <v>Y</v>
      </c>
    </row>
    <row r="683" spans="1:9" x14ac:dyDescent="0.15">
      <c r="A683" s="26">
        <f t="shared" si="20"/>
        <v>3264</v>
      </c>
      <c r="B683" s="27" t="s">
        <v>2485</v>
      </c>
      <c r="C683" s="26" t="s">
        <v>873</v>
      </c>
      <c r="D683" s="26">
        <v>51</v>
      </c>
      <c r="E683" s="26">
        <v>-2096</v>
      </c>
      <c r="F683" s="26">
        <v>22.85</v>
      </c>
      <c r="G683" s="26">
        <v>22.43</v>
      </c>
      <c r="I683" s="26" t="str">
        <f t="shared" si="21"/>
        <v>Y</v>
      </c>
    </row>
    <row r="684" spans="1:9" x14ac:dyDescent="0.15">
      <c r="A684" s="26">
        <f t="shared" si="20"/>
        <v>3265</v>
      </c>
      <c r="B684" s="27" t="s">
        <v>2486</v>
      </c>
      <c r="C684" s="26" t="s">
        <v>874</v>
      </c>
      <c r="D684" s="26">
        <v>19</v>
      </c>
      <c r="E684" s="26">
        <v>0</v>
      </c>
      <c r="F684" s="26">
        <v>19.05</v>
      </c>
      <c r="G684" s="26">
        <v>18.8</v>
      </c>
      <c r="I684" s="26" t="str">
        <f t="shared" si="21"/>
        <v>Y</v>
      </c>
    </row>
    <row r="685" spans="1:9" x14ac:dyDescent="0.15">
      <c r="A685" s="26">
        <f t="shared" si="20"/>
        <v>3266</v>
      </c>
      <c r="B685" s="27" t="s">
        <v>2487</v>
      </c>
      <c r="C685" s="26" t="s">
        <v>875</v>
      </c>
      <c r="D685" s="26">
        <v>0</v>
      </c>
      <c r="E685" s="26">
        <v>0</v>
      </c>
      <c r="F685" s="26">
        <v>13.8</v>
      </c>
      <c r="G685" s="26">
        <v>11.2</v>
      </c>
      <c r="I685" s="26" t="str">
        <f t="shared" si="21"/>
        <v>Y</v>
      </c>
    </row>
    <row r="686" spans="1:9" x14ac:dyDescent="0.15">
      <c r="A686" s="26">
        <f t="shared" si="20"/>
        <v>3268</v>
      </c>
      <c r="B686" s="27" t="s">
        <v>2488</v>
      </c>
      <c r="C686" s="26" t="s">
        <v>876</v>
      </c>
      <c r="D686" s="26">
        <v>-8</v>
      </c>
      <c r="E686" s="26">
        <v>0</v>
      </c>
      <c r="F686" s="26">
        <v>15</v>
      </c>
      <c r="G686" s="26">
        <v>13.94</v>
      </c>
      <c r="I686" s="26" t="str">
        <f t="shared" si="21"/>
        <v>Y</v>
      </c>
    </row>
    <row r="687" spans="1:9" x14ac:dyDescent="0.15">
      <c r="A687" s="26">
        <f t="shared" si="20"/>
        <v>3272</v>
      </c>
      <c r="B687" s="27" t="s">
        <v>2489</v>
      </c>
      <c r="C687" s="26" t="s">
        <v>877</v>
      </c>
      <c r="D687" s="26">
        <v>-43</v>
      </c>
      <c r="E687" s="26">
        <v>0</v>
      </c>
      <c r="F687" s="26">
        <v>66.400000000000006</v>
      </c>
      <c r="G687" s="26">
        <v>57.5</v>
      </c>
      <c r="I687" s="26" t="str">
        <f t="shared" si="21"/>
        <v>Y</v>
      </c>
    </row>
    <row r="688" spans="1:9" x14ac:dyDescent="0.15">
      <c r="A688" s="26">
        <f t="shared" si="20"/>
        <v>3276</v>
      </c>
      <c r="B688" s="27" t="s">
        <v>2490</v>
      </c>
      <c r="C688" s="26" t="s">
        <v>878</v>
      </c>
      <c r="D688" s="26">
        <v>-4</v>
      </c>
      <c r="E688" s="26">
        <v>0</v>
      </c>
      <c r="F688" s="26">
        <v>8.2799999999999994</v>
      </c>
      <c r="G688" s="26">
        <v>8.07</v>
      </c>
      <c r="I688" s="26" t="str">
        <f t="shared" si="21"/>
        <v>Y</v>
      </c>
    </row>
    <row r="689" spans="1:9" x14ac:dyDescent="0.15">
      <c r="A689" s="26">
        <f t="shared" si="20"/>
        <v>3284</v>
      </c>
      <c r="B689" s="27" t="s">
        <v>2491</v>
      </c>
      <c r="C689" s="26" t="s">
        <v>879</v>
      </c>
      <c r="D689" s="26">
        <v>-3</v>
      </c>
      <c r="E689" s="26">
        <v>0</v>
      </c>
      <c r="F689" s="26">
        <v>9.4499999999999993</v>
      </c>
      <c r="G689" s="26">
        <v>9.14</v>
      </c>
      <c r="I689" s="26" t="str">
        <f t="shared" si="21"/>
        <v>Y</v>
      </c>
    </row>
    <row r="690" spans="1:9" x14ac:dyDescent="0.15">
      <c r="A690" s="26">
        <f t="shared" si="20"/>
        <v>3285</v>
      </c>
      <c r="B690" s="27" t="s">
        <v>2492</v>
      </c>
      <c r="C690" s="26" t="s">
        <v>880</v>
      </c>
      <c r="D690" s="26">
        <v>-26</v>
      </c>
      <c r="E690" s="26">
        <v>0</v>
      </c>
      <c r="F690" s="26">
        <v>30.2</v>
      </c>
      <c r="G690" s="26">
        <v>28.88</v>
      </c>
      <c r="I690" s="26" t="str">
        <f t="shared" si="21"/>
        <v>Y</v>
      </c>
    </row>
    <row r="691" spans="1:9" x14ac:dyDescent="0.15">
      <c r="A691" s="26">
        <f t="shared" si="20"/>
        <v>3287</v>
      </c>
      <c r="B691" s="27" t="s">
        <v>2493</v>
      </c>
      <c r="C691" s="26" t="s">
        <v>881</v>
      </c>
      <c r="D691" s="26">
        <v>14</v>
      </c>
      <c r="E691" s="26">
        <v>0</v>
      </c>
      <c r="F691" s="26">
        <v>7.63</v>
      </c>
      <c r="G691" s="26">
        <v>7.59</v>
      </c>
      <c r="I691" s="26" t="str">
        <f t="shared" si="21"/>
        <v>Y</v>
      </c>
    </row>
    <row r="692" spans="1:9" x14ac:dyDescent="0.15">
      <c r="A692" s="26">
        <f t="shared" si="20"/>
        <v>3288</v>
      </c>
      <c r="B692" s="27" t="s">
        <v>2494</v>
      </c>
      <c r="C692" s="26" t="s">
        <v>882</v>
      </c>
      <c r="D692" s="26">
        <v>0</v>
      </c>
      <c r="E692" s="26">
        <v>0</v>
      </c>
      <c r="F692" s="26">
        <v>7.9</v>
      </c>
      <c r="G692" s="26">
        <v>7.92</v>
      </c>
      <c r="I692" s="26" t="str">
        <f t="shared" si="21"/>
        <v>-</v>
      </c>
    </row>
    <row r="693" spans="1:9" x14ac:dyDescent="0.15">
      <c r="A693" s="26">
        <f t="shared" si="20"/>
        <v>3289</v>
      </c>
      <c r="B693" s="27" t="s">
        <v>2495</v>
      </c>
      <c r="C693" s="26" t="s">
        <v>883</v>
      </c>
      <c r="D693" s="26">
        <v>331</v>
      </c>
      <c r="E693" s="26">
        <v>-149</v>
      </c>
      <c r="F693" s="26">
        <v>111.5</v>
      </c>
      <c r="G693" s="26">
        <v>112.58</v>
      </c>
      <c r="I693" s="26" t="str">
        <f t="shared" si="21"/>
        <v>-</v>
      </c>
    </row>
    <row r="694" spans="1:9" x14ac:dyDescent="0.15">
      <c r="A694" s="26">
        <f t="shared" si="20"/>
        <v>3290</v>
      </c>
      <c r="B694" s="27" t="s">
        <v>2496</v>
      </c>
      <c r="C694" s="26" t="s">
        <v>884</v>
      </c>
      <c r="D694" s="26">
        <v>20</v>
      </c>
      <c r="E694" s="26">
        <v>0</v>
      </c>
      <c r="F694" s="26">
        <v>14.15</v>
      </c>
      <c r="G694" s="26">
        <v>14.01</v>
      </c>
      <c r="I694" s="26" t="str">
        <f t="shared" si="21"/>
        <v>Y</v>
      </c>
    </row>
    <row r="695" spans="1:9" x14ac:dyDescent="0.15">
      <c r="A695" s="26">
        <f t="shared" si="20"/>
        <v>3291</v>
      </c>
      <c r="B695" s="27" t="s">
        <v>2497</v>
      </c>
      <c r="C695" s="26" t="s">
        <v>885</v>
      </c>
      <c r="D695" s="26">
        <v>5</v>
      </c>
      <c r="E695" s="26">
        <v>0</v>
      </c>
      <c r="F695" s="26">
        <v>14.2</v>
      </c>
      <c r="G695" s="26">
        <v>13.55</v>
      </c>
      <c r="I695" s="26" t="str">
        <f t="shared" si="21"/>
        <v>Y</v>
      </c>
    </row>
    <row r="696" spans="1:9" x14ac:dyDescent="0.15">
      <c r="A696" s="26">
        <f t="shared" si="20"/>
        <v>3293</v>
      </c>
      <c r="B696" s="27" t="s">
        <v>2498</v>
      </c>
      <c r="C696" s="26" t="s">
        <v>886</v>
      </c>
      <c r="D696" s="26">
        <v>-177</v>
      </c>
      <c r="E696" s="26">
        <v>-83</v>
      </c>
      <c r="F696" s="26">
        <v>230</v>
      </c>
      <c r="G696" s="26">
        <v>234.63</v>
      </c>
      <c r="I696" s="26" t="str">
        <f t="shared" si="21"/>
        <v>-</v>
      </c>
    </row>
    <row r="697" spans="1:9" x14ac:dyDescent="0.15">
      <c r="A697" s="26">
        <f t="shared" si="20"/>
        <v>3294</v>
      </c>
      <c r="B697" s="27" t="s">
        <v>2499</v>
      </c>
      <c r="C697" s="26" t="s">
        <v>887</v>
      </c>
      <c r="D697" s="26">
        <v>11</v>
      </c>
      <c r="E697" s="26">
        <v>0</v>
      </c>
      <c r="F697" s="26">
        <v>14.85</v>
      </c>
      <c r="G697" s="26">
        <v>14.2</v>
      </c>
      <c r="I697" s="26" t="str">
        <f t="shared" si="21"/>
        <v>Y</v>
      </c>
    </row>
    <row r="698" spans="1:9" x14ac:dyDescent="0.15">
      <c r="A698" s="26">
        <f t="shared" si="20"/>
        <v>3296</v>
      </c>
      <c r="B698" s="27" t="s">
        <v>2500</v>
      </c>
      <c r="C698" s="26" t="s">
        <v>888</v>
      </c>
      <c r="D698" s="26">
        <v>0</v>
      </c>
      <c r="E698" s="26">
        <v>0</v>
      </c>
      <c r="F698" s="26">
        <v>13.75</v>
      </c>
      <c r="G698" s="26">
        <v>12.99</v>
      </c>
      <c r="I698" s="26" t="str">
        <f t="shared" si="21"/>
        <v>Y</v>
      </c>
    </row>
    <row r="699" spans="1:9" x14ac:dyDescent="0.15">
      <c r="A699" s="26">
        <f t="shared" si="20"/>
        <v>3297</v>
      </c>
      <c r="B699" s="27" t="s">
        <v>2501</v>
      </c>
      <c r="C699" s="26" t="s">
        <v>889</v>
      </c>
      <c r="D699" s="26">
        <v>0</v>
      </c>
      <c r="E699" s="26">
        <v>0</v>
      </c>
      <c r="F699" s="26">
        <v>18.8</v>
      </c>
      <c r="G699" s="26">
        <v>18.13</v>
      </c>
      <c r="I699" s="26" t="str">
        <f t="shared" si="21"/>
        <v>Y</v>
      </c>
    </row>
    <row r="700" spans="1:9" x14ac:dyDescent="0.15">
      <c r="A700" s="26">
        <f t="shared" si="20"/>
        <v>3299</v>
      </c>
      <c r="B700" s="27" t="s">
        <v>2502</v>
      </c>
      <c r="C700" s="26" t="s">
        <v>890</v>
      </c>
      <c r="D700" s="26">
        <v>38</v>
      </c>
      <c r="E700" s="26">
        <v>0</v>
      </c>
      <c r="F700" s="26">
        <v>55</v>
      </c>
      <c r="G700" s="26">
        <v>53.83</v>
      </c>
      <c r="I700" s="26" t="str">
        <f t="shared" si="21"/>
        <v>Y</v>
      </c>
    </row>
    <row r="701" spans="1:9" x14ac:dyDescent="0.15">
      <c r="A701" s="26">
        <f t="shared" si="20"/>
        <v>3303</v>
      </c>
      <c r="B701" s="27" t="s">
        <v>2503</v>
      </c>
      <c r="C701" s="26" t="s">
        <v>891</v>
      </c>
      <c r="D701" s="26">
        <v>17</v>
      </c>
      <c r="E701" s="26">
        <v>0</v>
      </c>
      <c r="F701" s="26">
        <v>19.100000000000001</v>
      </c>
      <c r="G701" s="26">
        <v>18.93</v>
      </c>
      <c r="I701" s="26" t="str">
        <f t="shared" si="21"/>
        <v>Y</v>
      </c>
    </row>
    <row r="702" spans="1:9" x14ac:dyDescent="0.15">
      <c r="A702" s="26">
        <f t="shared" si="20"/>
        <v>3305</v>
      </c>
      <c r="B702" s="27" t="s">
        <v>2504</v>
      </c>
      <c r="C702" s="26" t="s">
        <v>892</v>
      </c>
      <c r="D702" s="26">
        <v>-16</v>
      </c>
      <c r="E702" s="26">
        <v>0</v>
      </c>
      <c r="F702" s="26">
        <v>25.2</v>
      </c>
      <c r="G702" s="26">
        <v>25.28</v>
      </c>
      <c r="I702" s="26" t="str">
        <f t="shared" si="21"/>
        <v>-</v>
      </c>
    </row>
    <row r="703" spans="1:9" x14ac:dyDescent="0.15">
      <c r="A703" s="26">
        <f t="shared" si="20"/>
        <v>3306</v>
      </c>
      <c r="B703" s="27" t="s">
        <v>2505</v>
      </c>
      <c r="C703" s="26" t="s">
        <v>893</v>
      </c>
      <c r="D703" s="26">
        <v>0</v>
      </c>
      <c r="E703" s="26">
        <v>0</v>
      </c>
      <c r="F703" s="26">
        <v>24.3</v>
      </c>
      <c r="G703" s="26">
        <v>23.94</v>
      </c>
      <c r="I703" s="26" t="str">
        <f t="shared" si="21"/>
        <v>Y</v>
      </c>
    </row>
    <row r="704" spans="1:9" x14ac:dyDescent="0.15">
      <c r="A704" s="26">
        <f t="shared" si="20"/>
        <v>3308</v>
      </c>
      <c r="B704" s="27" t="s">
        <v>2506</v>
      </c>
      <c r="C704" s="26" t="s">
        <v>894</v>
      </c>
      <c r="D704" s="26">
        <v>-26</v>
      </c>
      <c r="E704" s="26">
        <v>0</v>
      </c>
      <c r="F704" s="26">
        <v>7.64</v>
      </c>
      <c r="G704" s="26">
        <v>7.05</v>
      </c>
      <c r="I704" s="26" t="str">
        <f t="shared" si="21"/>
        <v>Y</v>
      </c>
    </row>
    <row r="705" spans="1:9" x14ac:dyDescent="0.15">
      <c r="A705" s="26">
        <f t="shared" si="20"/>
        <v>3310</v>
      </c>
      <c r="B705" s="27" t="s">
        <v>2507</v>
      </c>
      <c r="C705" s="26" t="s">
        <v>895</v>
      </c>
      <c r="D705" s="26">
        <v>0</v>
      </c>
      <c r="E705" s="26">
        <v>0</v>
      </c>
      <c r="F705" s="26">
        <v>12.7</v>
      </c>
      <c r="G705" s="26">
        <v>12.61</v>
      </c>
      <c r="I705" s="26" t="str">
        <f t="shared" si="21"/>
        <v>Y</v>
      </c>
    </row>
    <row r="706" spans="1:9" x14ac:dyDescent="0.15">
      <c r="A706" s="26">
        <f t="shared" si="20"/>
        <v>3311</v>
      </c>
      <c r="B706" s="27" t="s">
        <v>2508</v>
      </c>
      <c r="C706" s="26" t="s">
        <v>896</v>
      </c>
      <c r="D706" s="26">
        <v>-22</v>
      </c>
      <c r="E706" s="26">
        <v>0</v>
      </c>
      <c r="F706" s="26">
        <v>18.600000000000001</v>
      </c>
      <c r="G706" s="26">
        <v>18.899999999999999</v>
      </c>
      <c r="I706" s="26" t="str">
        <f t="shared" si="21"/>
        <v>-</v>
      </c>
    </row>
    <row r="707" spans="1:9" x14ac:dyDescent="0.15">
      <c r="A707" s="26">
        <f t="shared" si="20"/>
        <v>3312</v>
      </c>
      <c r="B707" s="27" t="s">
        <v>2509</v>
      </c>
      <c r="C707" s="26" t="s">
        <v>897</v>
      </c>
      <c r="D707" s="26">
        <v>0</v>
      </c>
      <c r="E707" s="26">
        <v>0</v>
      </c>
      <c r="F707" s="26">
        <v>6.51</v>
      </c>
      <c r="G707" s="26">
        <v>6.45</v>
      </c>
      <c r="I707" s="26" t="str">
        <f t="shared" si="21"/>
        <v>Y</v>
      </c>
    </row>
    <row r="708" spans="1:9" x14ac:dyDescent="0.15">
      <c r="A708" s="26">
        <f t="shared" si="20"/>
        <v>3313</v>
      </c>
      <c r="B708" s="27" t="s">
        <v>2510</v>
      </c>
      <c r="C708" s="26" t="s">
        <v>898</v>
      </c>
      <c r="D708" s="26">
        <v>-13</v>
      </c>
      <c r="E708" s="26">
        <v>0</v>
      </c>
      <c r="F708" s="26">
        <v>6.59</v>
      </c>
      <c r="G708" s="26">
        <v>6.3</v>
      </c>
      <c r="I708" s="26" t="str">
        <f t="shared" si="21"/>
        <v>Y</v>
      </c>
    </row>
    <row r="709" spans="1:9" x14ac:dyDescent="0.15">
      <c r="A709" s="26">
        <f t="shared" si="20"/>
        <v>3315</v>
      </c>
      <c r="B709" s="27" t="s">
        <v>2511</v>
      </c>
      <c r="C709" s="26" t="s">
        <v>899</v>
      </c>
      <c r="D709" s="26">
        <v>-6</v>
      </c>
      <c r="E709" s="26">
        <v>0</v>
      </c>
      <c r="F709" s="26">
        <v>16.649999999999999</v>
      </c>
      <c r="G709" s="26">
        <v>16.18</v>
      </c>
      <c r="I709" s="26" t="str">
        <f t="shared" si="21"/>
        <v>Y</v>
      </c>
    </row>
    <row r="710" spans="1:9" x14ac:dyDescent="0.15">
      <c r="A710" s="26">
        <f t="shared" si="20"/>
        <v>3317</v>
      </c>
      <c r="B710" s="27" t="s">
        <v>2512</v>
      </c>
      <c r="C710" s="26" t="s">
        <v>900</v>
      </c>
      <c r="D710" s="26">
        <v>7</v>
      </c>
      <c r="E710" s="26">
        <v>0</v>
      </c>
      <c r="F710" s="26">
        <v>12.1</v>
      </c>
      <c r="G710" s="26">
        <v>11.21</v>
      </c>
      <c r="I710" s="26" t="str">
        <f t="shared" si="21"/>
        <v>Y</v>
      </c>
    </row>
    <row r="711" spans="1:9" x14ac:dyDescent="0.15">
      <c r="A711" s="26">
        <f t="shared" ref="A711:A774" si="22">VALUE(B711)</f>
        <v>3321</v>
      </c>
      <c r="B711" s="27" t="s">
        <v>2513</v>
      </c>
      <c r="C711" s="26" t="s">
        <v>901</v>
      </c>
      <c r="D711" s="26">
        <v>-1</v>
      </c>
      <c r="E711" s="26">
        <v>0</v>
      </c>
      <c r="F711" s="26">
        <v>28.1</v>
      </c>
      <c r="G711" s="26">
        <v>27.44</v>
      </c>
      <c r="I711" s="26" t="str">
        <f t="shared" ref="I711:I774" si="23">IF(F711&gt;G711,"Y","-")</f>
        <v>Y</v>
      </c>
    </row>
    <row r="712" spans="1:9" x14ac:dyDescent="0.15">
      <c r="A712" s="26">
        <f t="shared" si="22"/>
        <v>3322</v>
      </c>
      <c r="B712" s="27" t="s">
        <v>2514</v>
      </c>
      <c r="C712" s="26" t="s">
        <v>902</v>
      </c>
      <c r="D712" s="26">
        <v>-21</v>
      </c>
      <c r="E712" s="26">
        <v>0</v>
      </c>
      <c r="F712" s="26">
        <v>11.7</v>
      </c>
      <c r="G712" s="26">
        <v>11.1</v>
      </c>
      <c r="I712" s="26" t="str">
        <f t="shared" si="23"/>
        <v>Y</v>
      </c>
    </row>
    <row r="713" spans="1:9" x14ac:dyDescent="0.15">
      <c r="A713" s="26">
        <f t="shared" si="22"/>
        <v>3323</v>
      </c>
      <c r="B713" s="27" t="s">
        <v>2515</v>
      </c>
      <c r="C713" s="26" t="s">
        <v>903</v>
      </c>
      <c r="D713" s="26">
        <v>0</v>
      </c>
      <c r="E713" s="26">
        <v>0</v>
      </c>
      <c r="F713" s="26">
        <v>19.5</v>
      </c>
      <c r="G713" s="26">
        <v>18.02</v>
      </c>
      <c r="I713" s="26" t="str">
        <f t="shared" si="23"/>
        <v>Y</v>
      </c>
    </row>
    <row r="714" spans="1:9" x14ac:dyDescent="0.15">
      <c r="A714" s="26">
        <f t="shared" si="22"/>
        <v>3324</v>
      </c>
      <c r="B714" s="27" t="s">
        <v>2516</v>
      </c>
      <c r="C714" s="26" t="s">
        <v>904</v>
      </c>
      <c r="D714" s="26">
        <v>-52</v>
      </c>
      <c r="E714" s="26">
        <v>-84</v>
      </c>
      <c r="F714" s="26">
        <v>75</v>
      </c>
      <c r="G714" s="26">
        <v>70.78</v>
      </c>
      <c r="I714" s="26" t="str">
        <f t="shared" si="23"/>
        <v>Y</v>
      </c>
    </row>
    <row r="715" spans="1:9" x14ac:dyDescent="0.15">
      <c r="A715" s="26">
        <f t="shared" si="22"/>
        <v>3325</v>
      </c>
      <c r="B715" s="27" t="s">
        <v>2517</v>
      </c>
      <c r="C715" s="26" t="s">
        <v>905</v>
      </c>
      <c r="D715" s="26">
        <v>3</v>
      </c>
      <c r="E715" s="26">
        <v>0</v>
      </c>
      <c r="F715" s="26">
        <v>17</v>
      </c>
      <c r="G715" s="26">
        <v>16.649999999999999</v>
      </c>
      <c r="I715" s="26" t="str">
        <f t="shared" si="23"/>
        <v>Y</v>
      </c>
    </row>
    <row r="716" spans="1:9" x14ac:dyDescent="0.15">
      <c r="A716" s="26">
        <f t="shared" si="22"/>
        <v>3332</v>
      </c>
      <c r="B716" s="27" t="s">
        <v>2518</v>
      </c>
      <c r="C716" s="26" t="s">
        <v>906</v>
      </c>
      <c r="D716" s="26">
        <v>0</v>
      </c>
      <c r="E716" s="26">
        <v>0</v>
      </c>
      <c r="F716" s="26">
        <v>37.700000000000003</v>
      </c>
      <c r="G716" s="26">
        <v>37.5</v>
      </c>
      <c r="I716" s="26" t="str">
        <f t="shared" si="23"/>
        <v>Y</v>
      </c>
    </row>
    <row r="717" spans="1:9" x14ac:dyDescent="0.15">
      <c r="A717" s="26">
        <f t="shared" si="22"/>
        <v>3338</v>
      </c>
      <c r="B717" s="27" t="s">
        <v>2519</v>
      </c>
      <c r="C717" s="26" t="s">
        <v>907</v>
      </c>
      <c r="D717" s="26">
        <v>-2</v>
      </c>
      <c r="E717" s="26">
        <v>0</v>
      </c>
      <c r="F717" s="26">
        <v>26.35</v>
      </c>
      <c r="G717" s="26">
        <v>26.55</v>
      </c>
      <c r="I717" s="26" t="str">
        <f t="shared" si="23"/>
        <v>-</v>
      </c>
    </row>
    <row r="718" spans="1:9" x14ac:dyDescent="0.15">
      <c r="A718" s="26">
        <f t="shared" si="22"/>
        <v>3339</v>
      </c>
      <c r="B718" s="27" t="s">
        <v>2520</v>
      </c>
      <c r="C718" s="26" t="s">
        <v>908</v>
      </c>
      <c r="D718" s="26">
        <v>-64</v>
      </c>
      <c r="E718" s="26">
        <v>0</v>
      </c>
      <c r="F718" s="26">
        <v>3.72</v>
      </c>
      <c r="G718" s="26">
        <v>3.66</v>
      </c>
      <c r="I718" s="26" t="str">
        <f t="shared" si="23"/>
        <v>Y</v>
      </c>
    </row>
    <row r="719" spans="1:9" x14ac:dyDescent="0.15">
      <c r="A719" s="26">
        <f t="shared" si="22"/>
        <v>3354</v>
      </c>
      <c r="B719" s="27" t="s">
        <v>2521</v>
      </c>
      <c r="C719" s="26" t="s">
        <v>909</v>
      </c>
      <c r="D719" s="26">
        <v>-7</v>
      </c>
      <c r="E719" s="26">
        <v>0</v>
      </c>
      <c r="F719" s="26">
        <v>8.77</v>
      </c>
      <c r="G719" s="26">
        <v>8.6</v>
      </c>
      <c r="I719" s="26" t="str">
        <f t="shared" si="23"/>
        <v>Y</v>
      </c>
    </row>
    <row r="720" spans="1:9" x14ac:dyDescent="0.15">
      <c r="A720" s="26">
        <f t="shared" si="22"/>
        <v>3356</v>
      </c>
      <c r="B720" s="27" t="s">
        <v>2522</v>
      </c>
      <c r="C720" s="26" t="s">
        <v>910</v>
      </c>
      <c r="D720" s="26">
        <v>4</v>
      </c>
      <c r="E720" s="26">
        <v>0</v>
      </c>
      <c r="F720" s="26">
        <v>76.099999999999994</v>
      </c>
      <c r="G720" s="26">
        <v>75.03</v>
      </c>
      <c r="I720" s="26" t="str">
        <f t="shared" si="23"/>
        <v>Y</v>
      </c>
    </row>
    <row r="721" spans="1:9" x14ac:dyDescent="0.15">
      <c r="A721" s="26">
        <f t="shared" si="22"/>
        <v>3360</v>
      </c>
      <c r="B721" s="27" t="s">
        <v>2523</v>
      </c>
      <c r="C721" s="26" t="s">
        <v>911</v>
      </c>
      <c r="D721" s="26">
        <v>245</v>
      </c>
      <c r="E721" s="26">
        <v>0</v>
      </c>
      <c r="F721" s="26">
        <v>19.45</v>
      </c>
      <c r="G721" s="26">
        <v>17.350000000000001</v>
      </c>
      <c r="I721" s="26" t="str">
        <f t="shared" si="23"/>
        <v>Y</v>
      </c>
    </row>
    <row r="722" spans="1:9" x14ac:dyDescent="0.15">
      <c r="A722" s="26">
        <f t="shared" si="22"/>
        <v>3362</v>
      </c>
      <c r="B722" s="27" t="s">
        <v>2524</v>
      </c>
      <c r="C722" s="26" t="s">
        <v>912</v>
      </c>
      <c r="D722" s="26">
        <v>-6</v>
      </c>
      <c r="E722" s="26">
        <v>0</v>
      </c>
      <c r="F722" s="26">
        <v>13.75</v>
      </c>
      <c r="G722" s="26">
        <v>13.66</v>
      </c>
      <c r="I722" s="26" t="str">
        <f t="shared" si="23"/>
        <v>Y</v>
      </c>
    </row>
    <row r="723" spans="1:9" x14ac:dyDescent="0.15">
      <c r="A723" s="26">
        <f t="shared" si="22"/>
        <v>3363</v>
      </c>
      <c r="B723" s="27" t="s">
        <v>2525</v>
      </c>
      <c r="C723" s="26" t="s">
        <v>913</v>
      </c>
      <c r="D723" s="26">
        <v>13</v>
      </c>
      <c r="E723" s="26">
        <v>0</v>
      </c>
      <c r="F723" s="26">
        <v>28.4</v>
      </c>
      <c r="G723" s="26">
        <v>28.02</v>
      </c>
      <c r="I723" s="26" t="str">
        <f t="shared" si="23"/>
        <v>Y</v>
      </c>
    </row>
    <row r="724" spans="1:9" x14ac:dyDescent="0.15">
      <c r="A724" s="26">
        <f t="shared" si="22"/>
        <v>3372</v>
      </c>
      <c r="B724" s="27" t="s">
        <v>2526</v>
      </c>
      <c r="C724" s="26" t="s">
        <v>914</v>
      </c>
      <c r="D724" s="26">
        <v>1</v>
      </c>
      <c r="E724" s="26">
        <v>0</v>
      </c>
      <c r="F724" s="26">
        <v>7.48</v>
      </c>
      <c r="G724" s="26">
        <v>7.41</v>
      </c>
      <c r="I724" s="26" t="str">
        <f t="shared" si="23"/>
        <v>Y</v>
      </c>
    </row>
    <row r="725" spans="1:9" x14ac:dyDescent="0.15">
      <c r="A725" s="26">
        <f t="shared" si="22"/>
        <v>3373</v>
      </c>
      <c r="B725" s="27" t="s">
        <v>2527</v>
      </c>
      <c r="C725" s="26" t="s">
        <v>915</v>
      </c>
      <c r="D725" s="26">
        <v>-21</v>
      </c>
      <c r="E725" s="26">
        <v>0</v>
      </c>
      <c r="F725" s="26">
        <v>27.45</v>
      </c>
      <c r="G725" s="26">
        <v>26.57</v>
      </c>
      <c r="I725" s="26" t="str">
        <f t="shared" si="23"/>
        <v>Y</v>
      </c>
    </row>
    <row r="726" spans="1:9" x14ac:dyDescent="0.15">
      <c r="A726" s="26">
        <f t="shared" si="22"/>
        <v>3374</v>
      </c>
      <c r="B726" s="27" t="s">
        <v>2528</v>
      </c>
      <c r="C726" s="26" t="s">
        <v>916</v>
      </c>
      <c r="D726" s="26">
        <v>-19</v>
      </c>
      <c r="E726" s="26">
        <v>0</v>
      </c>
      <c r="F726" s="26">
        <v>29.7</v>
      </c>
      <c r="G726" s="26">
        <v>30.4</v>
      </c>
      <c r="I726" s="26" t="str">
        <f t="shared" si="23"/>
        <v>-</v>
      </c>
    </row>
    <row r="727" spans="1:9" x14ac:dyDescent="0.15">
      <c r="A727" s="26">
        <f t="shared" si="22"/>
        <v>3376</v>
      </c>
      <c r="B727" s="27" t="s">
        <v>2529</v>
      </c>
      <c r="C727" s="26" t="s">
        <v>917</v>
      </c>
      <c r="D727" s="26">
        <v>-70</v>
      </c>
      <c r="E727" s="26">
        <v>-184</v>
      </c>
      <c r="F727" s="26">
        <v>102</v>
      </c>
      <c r="G727" s="26">
        <v>105.25</v>
      </c>
      <c r="I727" s="26" t="str">
        <f t="shared" si="23"/>
        <v>-</v>
      </c>
    </row>
    <row r="728" spans="1:9" x14ac:dyDescent="0.15">
      <c r="A728" s="26">
        <f t="shared" si="22"/>
        <v>3379</v>
      </c>
      <c r="B728" s="27" t="s">
        <v>2530</v>
      </c>
      <c r="C728" s="26" t="s">
        <v>918</v>
      </c>
      <c r="D728" s="26">
        <v>0</v>
      </c>
      <c r="E728" s="26">
        <v>0</v>
      </c>
      <c r="F728" s="26">
        <v>14</v>
      </c>
      <c r="G728" s="26">
        <v>12.73</v>
      </c>
      <c r="I728" s="26" t="str">
        <f t="shared" si="23"/>
        <v>Y</v>
      </c>
    </row>
    <row r="729" spans="1:9" x14ac:dyDescent="0.15">
      <c r="A729" s="26">
        <f t="shared" si="22"/>
        <v>3380</v>
      </c>
      <c r="B729" s="27" t="s">
        <v>2531</v>
      </c>
      <c r="C729" s="26" t="s">
        <v>919</v>
      </c>
      <c r="D729" s="26">
        <v>-39</v>
      </c>
      <c r="E729" s="26">
        <v>0</v>
      </c>
      <c r="F729" s="26">
        <v>16.2</v>
      </c>
      <c r="G729" s="26">
        <v>15.98</v>
      </c>
      <c r="I729" s="26" t="str">
        <f t="shared" si="23"/>
        <v>Y</v>
      </c>
    </row>
    <row r="730" spans="1:9" x14ac:dyDescent="0.15">
      <c r="A730" s="26">
        <f t="shared" si="22"/>
        <v>3383</v>
      </c>
      <c r="B730" s="27" t="s">
        <v>2532</v>
      </c>
      <c r="C730" s="26" t="s">
        <v>920</v>
      </c>
      <c r="D730" s="26">
        <v>-184</v>
      </c>
      <c r="E730" s="26">
        <v>0</v>
      </c>
      <c r="F730" s="26">
        <v>7.72</v>
      </c>
      <c r="G730" s="26">
        <v>7.61</v>
      </c>
      <c r="I730" s="26" t="str">
        <f t="shared" si="23"/>
        <v>Y</v>
      </c>
    </row>
    <row r="731" spans="1:9" x14ac:dyDescent="0.15">
      <c r="A731" s="26">
        <f t="shared" si="22"/>
        <v>3388</v>
      </c>
      <c r="B731" s="27" t="s">
        <v>2533</v>
      </c>
      <c r="C731" s="26" t="s">
        <v>921</v>
      </c>
      <c r="D731" s="26">
        <v>-9</v>
      </c>
      <c r="E731" s="26">
        <v>0</v>
      </c>
      <c r="F731" s="26">
        <v>64.8</v>
      </c>
      <c r="G731" s="26">
        <v>64.17</v>
      </c>
      <c r="I731" s="26" t="str">
        <f t="shared" si="23"/>
        <v>Y</v>
      </c>
    </row>
    <row r="732" spans="1:9" x14ac:dyDescent="0.15">
      <c r="A732" s="26">
        <f t="shared" si="22"/>
        <v>3390</v>
      </c>
      <c r="B732" s="27" t="s">
        <v>2534</v>
      </c>
      <c r="C732" s="26" t="s">
        <v>922</v>
      </c>
      <c r="D732" s="26">
        <v>-8</v>
      </c>
      <c r="E732" s="26">
        <v>0</v>
      </c>
      <c r="F732" s="26">
        <v>15.65</v>
      </c>
      <c r="G732" s="26">
        <v>14.87</v>
      </c>
      <c r="I732" s="26" t="str">
        <f t="shared" si="23"/>
        <v>Y</v>
      </c>
    </row>
    <row r="733" spans="1:9" x14ac:dyDescent="0.15">
      <c r="A733" s="26">
        <f t="shared" si="22"/>
        <v>3402</v>
      </c>
      <c r="B733" s="27" t="s">
        <v>2535</v>
      </c>
      <c r="C733" s="26" t="s">
        <v>923</v>
      </c>
      <c r="D733" s="26">
        <v>0</v>
      </c>
      <c r="E733" s="26">
        <v>0</v>
      </c>
      <c r="F733" s="26">
        <v>14.75</v>
      </c>
      <c r="G733" s="26">
        <v>14.65</v>
      </c>
      <c r="I733" s="26" t="str">
        <f t="shared" si="23"/>
        <v>Y</v>
      </c>
    </row>
    <row r="734" spans="1:9" x14ac:dyDescent="0.15">
      <c r="A734" s="26">
        <f t="shared" si="22"/>
        <v>3406</v>
      </c>
      <c r="B734" s="27" t="s">
        <v>2536</v>
      </c>
      <c r="C734" s="26" t="s">
        <v>924</v>
      </c>
      <c r="D734" s="26">
        <v>-50</v>
      </c>
      <c r="E734" s="26">
        <v>0</v>
      </c>
      <c r="F734" s="26">
        <v>60.6</v>
      </c>
      <c r="G734" s="26">
        <v>57.3</v>
      </c>
      <c r="I734" s="26" t="str">
        <f t="shared" si="23"/>
        <v>Y</v>
      </c>
    </row>
    <row r="735" spans="1:9" x14ac:dyDescent="0.15">
      <c r="A735" s="26">
        <f t="shared" si="22"/>
        <v>3413</v>
      </c>
      <c r="B735" s="27" t="s">
        <v>2537</v>
      </c>
      <c r="C735" s="26" t="s">
        <v>925</v>
      </c>
      <c r="D735" s="26">
        <v>75</v>
      </c>
      <c r="E735" s="26">
        <v>0</v>
      </c>
      <c r="F735" s="26">
        <v>99.8</v>
      </c>
      <c r="G735" s="26">
        <v>98.03</v>
      </c>
      <c r="I735" s="26" t="str">
        <f t="shared" si="23"/>
        <v>Y</v>
      </c>
    </row>
    <row r="736" spans="1:9" x14ac:dyDescent="0.15">
      <c r="A736" s="26">
        <f t="shared" si="22"/>
        <v>3416</v>
      </c>
      <c r="B736" s="27" t="s">
        <v>2538</v>
      </c>
      <c r="C736" s="26" t="s">
        <v>926</v>
      </c>
      <c r="D736" s="26">
        <v>-12</v>
      </c>
      <c r="E736" s="26">
        <v>0</v>
      </c>
      <c r="F736" s="26">
        <v>54.4</v>
      </c>
      <c r="G736" s="26">
        <v>53.14</v>
      </c>
      <c r="I736" s="26" t="str">
        <f t="shared" si="23"/>
        <v>Y</v>
      </c>
    </row>
    <row r="737" spans="1:9" x14ac:dyDescent="0.15">
      <c r="A737" s="26">
        <f t="shared" si="22"/>
        <v>3419</v>
      </c>
      <c r="B737" s="27" t="s">
        <v>2539</v>
      </c>
      <c r="C737" s="26" t="s">
        <v>927</v>
      </c>
      <c r="D737" s="26">
        <v>34</v>
      </c>
      <c r="E737" s="26">
        <v>0</v>
      </c>
      <c r="F737" s="26">
        <v>17.399999999999999</v>
      </c>
      <c r="G737" s="26">
        <v>17.600000000000001</v>
      </c>
      <c r="I737" s="26" t="str">
        <f t="shared" si="23"/>
        <v>-</v>
      </c>
    </row>
    <row r="738" spans="1:9" x14ac:dyDescent="0.15">
      <c r="A738" s="26">
        <f t="shared" si="22"/>
        <v>3428</v>
      </c>
      <c r="B738" s="27" t="s">
        <v>2540</v>
      </c>
      <c r="C738" s="26" t="s">
        <v>928</v>
      </c>
      <c r="D738" s="26">
        <v>34</v>
      </c>
      <c r="E738" s="26">
        <v>0</v>
      </c>
      <c r="F738" s="26">
        <v>53.7</v>
      </c>
      <c r="G738" s="26">
        <v>54.94</v>
      </c>
      <c r="I738" s="26" t="str">
        <f t="shared" si="23"/>
        <v>-</v>
      </c>
    </row>
    <row r="739" spans="1:9" x14ac:dyDescent="0.15">
      <c r="A739" s="26">
        <f t="shared" si="22"/>
        <v>3431</v>
      </c>
      <c r="B739" s="27" t="s">
        <v>2541</v>
      </c>
      <c r="C739" s="26" t="s">
        <v>929</v>
      </c>
      <c r="D739" s="26">
        <v>4</v>
      </c>
      <c r="E739" s="26">
        <v>0</v>
      </c>
      <c r="F739" s="26">
        <v>7.64</v>
      </c>
      <c r="G739" s="26">
        <v>7.49</v>
      </c>
      <c r="I739" s="26" t="str">
        <f t="shared" si="23"/>
        <v>Y</v>
      </c>
    </row>
    <row r="740" spans="1:9" x14ac:dyDescent="0.15">
      <c r="A740" s="26">
        <f t="shared" si="22"/>
        <v>3432</v>
      </c>
      <c r="B740" s="27" t="s">
        <v>2542</v>
      </c>
      <c r="C740" s="26" t="s">
        <v>930</v>
      </c>
      <c r="D740" s="26">
        <v>0</v>
      </c>
      <c r="E740" s="26">
        <v>0</v>
      </c>
      <c r="F740" s="26">
        <v>12.5</v>
      </c>
      <c r="G740" s="26">
        <v>11.92</v>
      </c>
      <c r="I740" s="26" t="str">
        <f t="shared" si="23"/>
        <v>Y</v>
      </c>
    </row>
    <row r="741" spans="1:9" x14ac:dyDescent="0.15">
      <c r="A741" s="26">
        <f t="shared" si="22"/>
        <v>3434</v>
      </c>
      <c r="B741" s="27" t="s">
        <v>2543</v>
      </c>
      <c r="C741" s="26" t="s">
        <v>931</v>
      </c>
      <c r="D741" s="26">
        <v>0</v>
      </c>
      <c r="E741" s="26">
        <v>0</v>
      </c>
      <c r="F741" s="26">
        <v>12.85</v>
      </c>
      <c r="G741" s="26">
        <v>13.09</v>
      </c>
      <c r="I741" s="26" t="str">
        <f t="shared" si="23"/>
        <v>-</v>
      </c>
    </row>
    <row r="742" spans="1:9" x14ac:dyDescent="0.15">
      <c r="A742" s="26">
        <f t="shared" si="22"/>
        <v>3437</v>
      </c>
      <c r="B742" s="27" t="s">
        <v>2544</v>
      </c>
      <c r="C742" s="26" t="s">
        <v>932</v>
      </c>
      <c r="D742" s="26">
        <v>53</v>
      </c>
      <c r="E742" s="26">
        <v>0</v>
      </c>
      <c r="F742" s="26">
        <v>28.6</v>
      </c>
      <c r="G742" s="26">
        <v>29.2</v>
      </c>
      <c r="I742" s="26" t="str">
        <f t="shared" si="23"/>
        <v>-</v>
      </c>
    </row>
    <row r="743" spans="1:9" x14ac:dyDescent="0.15">
      <c r="A743" s="26">
        <f t="shared" si="22"/>
        <v>3438</v>
      </c>
      <c r="B743" s="27" t="s">
        <v>2545</v>
      </c>
      <c r="C743" s="26" t="s">
        <v>933</v>
      </c>
      <c r="D743" s="26">
        <v>-7</v>
      </c>
      <c r="E743" s="26">
        <v>0</v>
      </c>
      <c r="F743" s="26">
        <v>18.25</v>
      </c>
      <c r="G743" s="26">
        <v>17.54</v>
      </c>
      <c r="I743" s="26" t="str">
        <f t="shared" si="23"/>
        <v>Y</v>
      </c>
    </row>
    <row r="744" spans="1:9" x14ac:dyDescent="0.15">
      <c r="A744" s="26">
        <f t="shared" si="22"/>
        <v>3441</v>
      </c>
      <c r="B744" s="27" t="s">
        <v>2546</v>
      </c>
      <c r="C744" s="26" t="s">
        <v>934</v>
      </c>
      <c r="D744" s="26">
        <v>63</v>
      </c>
      <c r="E744" s="26">
        <v>0</v>
      </c>
      <c r="F744" s="26">
        <v>12.2</v>
      </c>
      <c r="G744" s="26">
        <v>12</v>
      </c>
      <c r="I744" s="26" t="str">
        <f t="shared" si="23"/>
        <v>Y</v>
      </c>
    </row>
    <row r="745" spans="1:9" x14ac:dyDescent="0.15">
      <c r="A745" s="26">
        <f t="shared" si="22"/>
        <v>3443</v>
      </c>
      <c r="B745" s="27" t="s">
        <v>2547</v>
      </c>
      <c r="C745" s="26" t="s">
        <v>935</v>
      </c>
      <c r="D745" s="26">
        <v>99</v>
      </c>
      <c r="E745" s="26">
        <v>200</v>
      </c>
      <c r="F745" s="26">
        <v>88.6</v>
      </c>
      <c r="G745" s="26">
        <v>84.07</v>
      </c>
      <c r="I745" s="26" t="str">
        <f t="shared" si="23"/>
        <v>Y</v>
      </c>
    </row>
    <row r="746" spans="1:9" x14ac:dyDescent="0.15">
      <c r="A746" s="26">
        <f t="shared" si="22"/>
        <v>3444</v>
      </c>
      <c r="B746" s="27" t="s">
        <v>2548</v>
      </c>
      <c r="C746" s="26" t="s">
        <v>936</v>
      </c>
      <c r="D746" s="26">
        <v>-2</v>
      </c>
      <c r="E746" s="26">
        <v>0</v>
      </c>
      <c r="F746" s="26">
        <v>18.2</v>
      </c>
      <c r="G746" s="26">
        <v>15.99</v>
      </c>
      <c r="I746" s="26" t="str">
        <f t="shared" si="23"/>
        <v>Y</v>
      </c>
    </row>
    <row r="747" spans="1:9" x14ac:dyDescent="0.15">
      <c r="A747" s="26">
        <f t="shared" si="22"/>
        <v>3450</v>
      </c>
      <c r="B747" s="27" t="s">
        <v>2549</v>
      </c>
      <c r="C747" s="26" t="s">
        <v>937</v>
      </c>
      <c r="D747" s="26">
        <v>-28</v>
      </c>
      <c r="E747" s="26">
        <v>-103</v>
      </c>
      <c r="F747" s="26">
        <v>134.5</v>
      </c>
      <c r="G747" s="26">
        <v>136.5</v>
      </c>
      <c r="I747" s="26" t="str">
        <f t="shared" si="23"/>
        <v>-</v>
      </c>
    </row>
    <row r="748" spans="1:9" x14ac:dyDescent="0.15">
      <c r="A748" s="26">
        <f t="shared" si="22"/>
        <v>3452</v>
      </c>
      <c r="B748" s="27" t="s">
        <v>2550</v>
      </c>
      <c r="C748" s="26" t="s">
        <v>938</v>
      </c>
      <c r="D748" s="26">
        <v>-14</v>
      </c>
      <c r="E748" s="26">
        <v>0</v>
      </c>
      <c r="F748" s="26">
        <v>12.05</v>
      </c>
      <c r="G748" s="26">
        <v>12.32</v>
      </c>
      <c r="I748" s="26" t="str">
        <f t="shared" si="23"/>
        <v>-</v>
      </c>
    </row>
    <row r="749" spans="1:9" x14ac:dyDescent="0.15">
      <c r="A749" s="26">
        <f t="shared" si="22"/>
        <v>3454</v>
      </c>
      <c r="B749" s="27" t="s">
        <v>2551</v>
      </c>
      <c r="C749" s="26" t="s">
        <v>939</v>
      </c>
      <c r="D749" s="26">
        <v>134</v>
      </c>
      <c r="E749" s="26">
        <v>-71</v>
      </c>
      <c r="F749" s="26">
        <v>86.7</v>
      </c>
      <c r="G749" s="26">
        <v>86.5</v>
      </c>
      <c r="I749" s="26" t="str">
        <f t="shared" si="23"/>
        <v>Y</v>
      </c>
    </row>
    <row r="750" spans="1:9" x14ac:dyDescent="0.15">
      <c r="A750" s="26">
        <f t="shared" si="22"/>
        <v>3455</v>
      </c>
      <c r="B750" s="27" t="s">
        <v>2552</v>
      </c>
      <c r="C750" s="26" t="s">
        <v>940</v>
      </c>
      <c r="D750" s="26">
        <v>-101</v>
      </c>
      <c r="E750" s="26">
        <v>0</v>
      </c>
      <c r="F750" s="26">
        <v>35.9</v>
      </c>
      <c r="G750" s="26">
        <v>34.49</v>
      </c>
      <c r="I750" s="26" t="str">
        <f t="shared" si="23"/>
        <v>Y</v>
      </c>
    </row>
    <row r="751" spans="1:9" x14ac:dyDescent="0.15">
      <c r="A751" s="26">
        <f t="shared" si="22"/>
        <v>3465</v>
      </c>
      <c r="B751" s="27" t="s">
        <v>2553</v>
      </c>
      <c r="C751" s="26" t="s">
        <v>941</v>
      </c>
      <c r="D751" s="26">
        <v>0</v>
      </c>
      <c r="E751" s="26">
        <v>0</v>
      </c>
      <c r="F751" s="26">
        <v>10.25</v>
      </c>
      <c r="G751" s="26">
        <v>10.02</v>
      </c>
      <c r="I751" s="26" t="str">
        <f t="shared" si="23"/>
        <v>Y</v>
      </c>
    </row>
    <row r="752" spans="1:9" x14ac:dyDescent="0.15">
      <c r="A752" s="26">
        <f t="shared" si="22"/>
        <v>3466</v>
      </c>
      <c r="B752" s="27" t="s">
        <v>2554</v>
      </c>
      <c r="C752" s="26" t="s">
        <v>942</v>
      </c>
      <c r="D752" s="26">
        <v>-7</v>
      </c>
      <c r="E752" s="26">
        <v>0</v>
      </c>
      <c r="F752" s="26">
        <v>21.2</v>
      </c>
      <c r="G752" s="26">
        <v>20.98</v>
      </c>
      <c r="I752" s="26" t="str">
        <f t="shared" si="23"/>
        <v>Y</v>
      </c>
    </row>
    <row r="753" spans="1:9" x14ac:dyDescent="0.15">
      <c r="A753" s="26">
        <f t="shared" si="22"/>
        <v>3474</v>
      </c>
      <c r="B753" s="27" t="s">
        <v>2555</v>
      </c>
      <c r="C753" s="26" t="s">
        <v>943</v>
      </c>
      <c r="D753" s="26">
        <v>3262</v>
      </c>
      <c r="E753" s="26">
        <v>0</v>
      </c>
      <c r="F753" s="26">
        <v>28.7</v>
      </c>
      <c r="G753" s="26">
        <v>28.45</v>
      </c>
      <c r="I753" s="26" t="str">
        <f t="shared" si="23"/>
        <v>Y</v>
      </c>
    </row>
    <row r="754" spans="1:9" x14ac:dyDescent="0.15">
      <c r="A754" s="26">
        <f t="shared" si="22"/>
        <v>3479</v>
      </c>
      <c r="B754" s="27" t="s">
        <v>2556</v>
      </c>
      <c r="C754" s="26" t="s">
        <v>944</v>
      </c>
      <c r="D754" s="26">
        <v>-27</v>
      </c>
      <c r="E754" s="26">
        <v>839</v>
      </c>
      <c r="F754" s="26">
        <v>83.7</v>
      </c>
      <c r="G754" s="26">
        <v>80.88</v>
      </c>
      <c r="I754" s="26" t="str">
        <f t="shared" si="23"/>
        <v>Y</v>
      </c>
    </row>
    <row r="755" spans="1:9" x14ac:dyDescent="0.15">
      <c r="A755" s="26">
        <f t="shared" si="22"/>
        <v>3481</v>
      </c>
      <c r="B755" s="27" t="s">
        <v>2557</v>
      </c>
      <c r="C755" s="26" t="s">
        <v>945</v>
      </c>
      <c r="D755" s="26">
        <v>-8201</v>
      </c>
      <c r="E755" s="26">
        <v>0</v>
      </c>
      <c r="F755" s="26">
        <v>10.25</v>
      </c>
      <c r="G755" s="26">
        <v>9.68</v>
      </c>
      <c r="I755" s="26" t="str">
        <f t="shared" si="23"/>
        <v>Y</v>
      </c>
    </row>
    <row r="756" spans="1:9" x14ac:dyDescent="0.15">
      <c r="A756" s="26">
        <f t="shared" si="22"/>
        <v>3483</v>
      </c>
      <c r="B756" s="27" t="s">
        <v>2558</v>
      </c>
      <c r="C756" s="26" t="s">
        <v>946</v>
      </c>
      <c r="D756" s="26">
        <v>-3</v>
      </c>
      <c r="E756" s="26">
        <v>0</v>
      </c>
      <c r="F756" s="26">
        <v>13.8</v>
      </c>
      <c r="G756" s="26">
        <v>14.06</v>
      </c>
      <c r="I756" s="26" t="str">
        <f t="shared" si="23"/>
        <v>-</v>
      </c>
    </row>
    <row r="757" spans="1:9" x14ac:dyDescent="0.15">
      <c r="A757" s="26">
        <f t="shared" si="22"/>
        <v>3484</v>
      </c>
      <c r="B757" s="27" t="s">
        <v>2559</v>
      </c>
      <c r="C757" s="26" t="s">
        <v>947</v>
      </c>
      <c r="D757" s="26">
        <v>-72</v>
      </c>
      <c r="E757" s="26">
        <v>17</v>
      </c>
      <c r="F757" s="26">
        <v>49.75</v>
      </c>
      <c r="G757" s="26">
        <v>49.05</v>
      </c>
      <c r="I757" s="26" t="str">
        <f t="shared" si="23"/>
        <v>Y</v>
      </c>
    </row>
    <row r="758" spans="1:9" x14ac:dyDescent="0.15">
      <c r="A758" s="26">
        <f t="shared" si="22"/>
        <v>3489</v>
      </c>
      <c r="B758" s="27" t="s">
        <v>2560</v>
      </c>
      <c r="C758" s="26" t="s">
        <v>948</v>
      </c>
      <c r="D758" s="26">
        <v>3</v>
      </c>
      <c r="E758" s="26">
        <v>0</v>
      </c>
      <c r="F758" s="26">
        <v>11.05</v>
      </c>
      <c r="G758" s="26">
        <v>9.4</v>
      </c>
      <c r="I758" s="26" t="str">
        <f t="shared" si="23"/>
        <v>Y</v>
      </c>
    </row>
    <row r="759" spans="1:9" x14ac:dyDescent="0.15">
      <c r="A759" s="26">
        <f t="shared" si="22"/>
        <v>3490</v>
      </c>
      <c r="B759" s="27" t="s">
        <v>2561</v>
      </c>
      <c r="C759" s="26" t="s">
        <v>949</v>
      </c>
      <c r="D759" s="26">
        <v>303</v>
      </c>
      <c r="E759" s="26">
        <v>0</v>
      </c>
      <c r="F759" s="26">
        <v>77.7</v>
      </c>
      <c r="G759" s="26">
        <v>71.13</v>
      </c>
      <c r="I759" s="26" t="str">
        <f t="shared" si="23"/>
        <v>Y</v>
      </c>
    </row>
    <row r="760" spans="1:9" x14ac:dyDescent="0.15">
      <c r="A760" s="26">
        <f t="shared" si="22"/>
        <v>3491</v>
      </c>
      <c r="B760" s="27" t="s">
        <v>2562</v>
      </c>
      <c r="C760" s="26" t="s">
        <v>950</v>
      </c>
      <c r="D760" s="26">
        <v>755</v>
      </c>
      <c r="E760" s="26">
        <v>45</v>
      </c>
      <c r="F760" s="26">
        <v>76</v>
      </c>
      <c r="G760" s="26">
        <v>72.010000000000005</v>
      </c>
      <c r="I760" s="26" t="str">
        <f t="shared" si="23"/>
        <v>Y</v>
      </c>
    </row>
    <row r="761" spans="1:9" x14ac:dyDescent="0.15">
      <c r="A761" s="26">
        <f t="shared" si="22"/>
        <v>3492</v>
      </c>
      <c r="B761" s="27" t="s">
        <v>2563</v>
      </c>
      <c r="C761" s="26" t="s">
        <v>951</v>
      </c>
      <c r="D761" s="26">
        <v>72</v>
      </c>
      <c r="E761" s="26">
        <v>0</v>
      </c>
      <c r="F761" s="26">
        <v>43.95</v>
      </c>
      <c r="G761" s="26">
        <v>45.29</v>
      </c>
      <c r="I761" s="26" t="str">
        <f t="shared" si="23"/>
        <v>-</v>
      </c>
    </row>
    <row r="762" spans="1:9" x14ac:dyDescent="0.15">
      <c r="A762" s="26">
        <f t="shared" si="22"/>
        <v>3494</v>
      </c>
      <c r="B762" s="27" t="s">
        <v>2564</v>
      </c>
      <c r="C762" s="26" t="s">
        <v>952</v>
      </c>
      <c r="D762" s="26">
        <v>132</v>
      </c>
      <c r="E762" s="26">
        <v>0</v>
      </c>
      <c r="F762" s="26">
        <v>17.649999999999999</v>
      </c>
      <c r="G762" s="26">
        <v>13.33</v>
      </c>
      <c r="I762" s="26" t="str">
        <f t="shared" si="23"/>
        <v>Y</v>
      </c>
    </row>
    <row r="763" spans="1:9" x14ac:dyDescent="0.15">
      <c r="A763" s="26">
        <f t="shared" si="22"/>
        <v>3498</v>
      </c>
      <c r="B763" s="27" t="s">
        <v>2565</v>
      </c>
      <c r="C763" s="26" t="s">
        <v>953</v>
      </c>
      <c r="D763" s="26">
        <v>-87</v>
      </c>
      <c r="E763" s="26">
        <v>0</v>
      </c>
      <c r="F763" s="26">
        <v>67.099999999999994</v>
      </c>
      <c r="G763" s="26">
        <v>67.67</v>
      </c>
      <c r="I763" s="26" t="str">
        <f t="shared" si="23"/>
        <v>-</v>
      </c>
    </row>
    <row r="764" spans="1:9" x14ac:dyDescent="0.15">
      <c r="A764" s="26">
        <f t="shared" si="22"/>
        <v>3499</v>
      </c>
      <c r="B764" s="27" t="s">
        <v>2566</v>
      </c>
      <c r="C764" s="26" t="s">
        <v>954</v>
      </c>
      <c r="D764" s="26">
        <v>9</v>
      </c>
      <c r="E764" s="26">
        <v>0</v>
      </c>
      <c r="F764" s="26">
        <v>18.399999999999999</v>
      </c>
      <c r="G764" s="26">
        <v>18.53</v>
      </c>
      <c r="I764" s="26" t="str">
        <f t="shared" si="23"/>
        <v>-</v>
      </c>
    </row>
    <row r="765" spans="1:9" x14ac:dyDescent="0.15">
      <c r="A765" s="26">
        <f t="shared" si="22"/>
        <v>3501</v>
      </c>
      <c r="B765" s="27" t="s">
        <v>2567</v>
      </c>
      <c r="C765" s="26" t="s">
        <v>955</v>
      </c>
      <c r="D765" s="26">
        <v>5</v>
      </c>
      <c r="E765" s="26">
        <v>0</v>
      </c>
      <c r="F765" s="26">
        <v>52</v>
      </c>
      <c r="G765" s="26">
        <v>51.38</v>
      </c>
      <c r="I765" s="26" t="str">
        <f t="shared" si="23"/>
        <v>Y</v>
      </c>
    </row>
    <row r="766" spans="1:9" x14ac:dyDescent="0.15">
      <c r="A766" s="26">
        <f t="shared" si="22"/>
        <v>3504</v>
      </c>
      <c r="B766" s="27" t="s">
        <v>2568</v>
      </c>
      <c r="C766" s="26" t="s">
        <v>956</v>
      </c>
      <c r="D766" s="26">
        <v>7</v>
      </c>
      <c r="E766" s="26">
        <v>0</v>
      </c>
      <c r="F766" s="26">
        <v>34.9</v>
      </c>
      <c r="G766" s="26">
        <v>34.630000000000003</v>
      </c>
      <c r="I766" s="26" t="str">
        <f t="shared" si="23"/>
        <v>Y</v>
      </c>
    </row>
    <row r="767" spans="1:9" x14ac:dyDescent="0.15">
      <c r="A767" s="26">
        <f t="shared" si="22"/>
        <v>3508</v>
      </c>
      <c r="B767" s="27" t="s">
        <v>2569</v>
      </c>
      <c r="C767" s="26" t="s">
        <v>957</v>
      </c>
      <c r="D767" s="26">
        <v>-10</v>
      </c>
      <c r="E767" s="26">
        <v>0</v>
      </c>
      <c r="F767" s="26">
        <v>15.45</v>
      </c>
      <c r="G767" s="26">
        <v>13.85</v>
      </c>
      <c r="I767" s="26" t="str">
        <f t="shared" si="23"/>
        <v>Y</v>
      </c>
    </row>
    <row r="768" spans="1:9" x14ac:dyDescent="0.15">
      <c r="A768" s="26">
        <f t="shared" si="22"/>
        <v>3511</v>
      </c>
      <c r="B768" s="27" t="s">
        <v>2570</v>
      </c>
      <c r="C768" s="26" t="s">
        <v>958</v>
      </c>
      <c r="D768" s="26">
        <v>-34</v>
      </c>
      <c r="E768" s="26">
        <v>0</v>
      </c>
      <c r="F768" s="26">
        <v>32.6</v>
      </c>
      <c r="G768" s="26">
        <v>32.01</v>
      </c>
      <c r="I768" s="26" t="str">
        <f t="shared" si="23"/>
        <v>Y</v>
      </c>
    </row>
    <row r="769" spans="1:9" x14ac:dyDescent="0.15">
      <c r="A769" s="26">
        <f t="shared" si="22"/>
        <v>3512</v>
      </c>
      <c r="B769" s="27" t="s">
        <v>2571</v>
      </c>
      <c r="C769" s="26" t="s">
        <v>959</v>
      </c>
      <c r="D769" s="26">
        <v>-11</v>
      </c>
      <c r="E769" s="26">
        <v>0</v>
      </c>
      <c r="F769" s="26">
        <v>26</v>
      </c>
      <c r="G769" s="26">
        <v>26.1</v>
      </c>
      <c r="I769" s="26" t="str">
        <f t="shared" si="23"/>
        <v>-</v>
      </c>
    </row>
    <row r="770" spans="1:9" x14ac:dyDescent="0.15">
      <c r="A770" s="26">
        <f t="shared" si="22"/>
        <v>3514</v>
      </c>
      <c r="B770" s="27" t="s">
        <v>2572</v>
      </c>
      <c r="C770" s="26" t="s">
        <v>960</v>
      </c>
      <c r="D770" s="26">
        <v>-5209</v>
      </c>
      <c r="E770" s="26">
        <v>-2826</v>
      </c>
      <c r="F770" s="26">
        <v>30</v>
      </c>
      <c r="G770" s="26">
        <v>32.299999999999997</v>
      </c>
      <c r="I770" s="26" t="str">
        <f t="shared" si="23"/>
        <v>-</v>
      </c>
    </row>
    <row r="771" spans="1:9" x14ac:dyDescent="0.15">
      <c r="A771" s="26">
        <f t="shared" si="22"/>
        <v>3515</v>
      </c>
      <c r="B771" s="27" t="s">
        <v>2573</v>
      </c>
      <c r="C771" s="26" t="s">
        <v>961</v>
      </c>
      <c r="D771" s="26">
        <v>2</v>
      </c>
      <c r="E771" s="26">
        <v>0</v>
      </c>
      <c r="F771" s="26">
        <v>42.55</v>
      </c>
      <c r="G771" s="26">
        <v>42.16</v>
      </c>
      <c r="I771" s="26" t="str">
        <f t="shared" si="23"/>
        <v>Y</v>
      </c>
    </row>
    <row r="772" spans="1:9" x14ac:dyDescent="0.15">
      <c r="A772" s="26">
        <f t="shared" si="22"/>
        <v>3516</v>
      </c>
      <c r="B772" s="27" t="s">
        <v>2574</v>
      </c>
      <c r="C772" s="26" t="s">
        <v>962</v>
      </c>
      <c r="D772" s="26">
        <v>0</v>
      </c>
      <c r="E772" s="26">
        <v>0</v>
      </c>
      <c r="F772" s="26">
        <v>8.3699999999999992</v>
      </c>
      <c r="G772" s="26">
        <v>8.1300000000000008</v>
      </c>
      <c r="I772" s="26" t="str">
        <f t="shared" si="23"/>
        <v>Y</v>
      </c>
    </row>
    <row r="773" spans="1:9" x14ac:dyDescent="0.15">
      <c r="A773" s="26">
        <f t="shared" si="22"/>
        <v>3518</v>
      </c>
      <c r="B773" s="27" t="s">
        <v>2575</v>
      </c>
      <c r="C773" s="26" t="s">
        <v>963</v>
      </c>
      <c r="D773" s="26">
        <v>0</v>
      </c>
      <c r="E773" s="26">
        <v>0</v>
      </c>
      <c r="F773" s="26">
        <v>29.5</v>
      </c>
      <c r="G773" s="26">
        <v>28.8</v>
      </c>
      <c r="I773" s="26" t="str">
        <f t="shared" si="23"/>
        <v>Y</v>
      </c>
    </row>
    <row r="774" spans="1:9" x14ac:dyDescent="0.15">
      <c r="A774" s="26">
        <f t="shared" si="22"/>
        <v>3519</v>
      </c>
      <c r="B774" s="27" t="s">
        <v>2576</v>
      </c>
      <c r="C774" s="26" t="s">
        <v>964</v>
      </c>
      <c r="D774" s="26">
        <v>-923</v>
      </c>
      <c r="E774" s="26">
        <v>0</v>
      </c>
      <c r="F774" s="26">
        <v>22.5</v>
      </c>
      <c r="G774" s="26">
        <v>22.97</v>
      </c>
      <c r="I774" s="26" t="str">
        <f t="shared" si="23"/>
        <v>-</v>
      </c>
    </row>
    <row r="775" spans="1:9" x14ac:dyDescent="0.15">
      <c r="A775" s="26">
        <f t="shared" ref="A775:A838" si="24">VALUE(B775)</f>
        <v>3520</v>
      </c>
      <c r="B775" s="27" t="s">
        <v>2577</v>
      </c>
      <c r="C775" s="26" t="s">
        <v>965</v>
      </c>
      <c r="D775" s="26">
        <v>60</v>
      </c>
      <c r="E775" s="26">
        <v>0</v>
      </c>
      <c r="F775" s="26">
        <v>111.5</v>
      </c>
      <c r="G775" s="26">
        <v>98.98</v>
      </c>
      <c r="I775" s="26" t="str">
        <f t="shared" ref="I775:I838" si="25">IF(F775&gt;G775,"Y","-")</f>
        <v>Y</v>
      </c>
    </row>
    <row r="776" spans="1:9" x14ac:dyDescent="0.15">
      <c r="A776" s="26">
        <f t="shared" si="24"/>
        <v>3521</v>
      </c>
      <c r="B776" s="27" t="s">
        <v>2578</v>
      </c>
      <c r="C776" s="26" t="s">
        <v>966</v>
      </c>
      <c r="D776" s="26">
        <v>-4</v>
      </c>
      <c r="E776" s="26">
        <v>0</v>
      </c>
      <c r="F776" s="26">
        <v>12.75</v>
      </c>
      <c r="G776" s="26">
        <v>11.97</v>
      </c>
      <c r="I776" s="26" t="str">
        <f t="shared" si="25"/>
        <v>Y</v>
      </c>
    </row>
    <row r="777" spans="1:9" x14ac:dyDescent="0.15">
      <c r="A777" s="26">
        <f t="shared" si="24"/>
        <v>3522</v>
      </c>
      <c r="B777" s="27" t="s">
        <v>2579</v>
      </c>
      <c r="C777" s="26" t="s">
        <v>967</v>
      </c>
      <c r="D777" s="26">
        <v>0</v>
      </c>
      <c r="E777" s="26">
        <v>0</v>
      </c>
      <c r="F777" s="26">
        <v>11.6</v>
      </c>
      <c r="G777" s="26">
        <v>11.13</v>
      </c>
      <c r="I777" s="26" t="str">
        <f t="shared" si="25"/>
        <v>Y</v>
      </c>
    </row>
    <row r="778" spans="1:9" x14ac:dyDescent="0.15">
      <c r="A778" s="26">
        <f t="shared" si="24"/>
        <v>3523</v>
      </c>
      <c r="B778" s="27" t="s">
        <v>2580</v>
      </c>
      <c r="C778" s="26" t="s">
        <v>968</v>
      </c>
      <c r="D778" s="26">
        <v>-2</v>
      </c>
      <c r="E778" s="26">
        <v>0</v>
      </c>
      <c r="F778" s="26">
        <v>27.9</v>
      </c>
      <c r="G778" s="26">
        <v>27.39</v>
      </c>
      <c r="I778" s="26" t="str">
        <f t="shared" si="25"/>
        <v>Y</v>
      </c>
    </row>
    <row r="779" spans="1:9" x14ac:dyDescent="0.15">
      <c r="A779" s="26">
        <f t="shared" si="24"/>
        <v>3526</v>
      </c>
      <c r="B779" s="27" t="s">
        <v>2581</v>
      </c>
      <c r="C779" s="26" t="s">
        <v>969</v>
      </c>
      <c r="D779" s="26">
        <v>19</v>
      </c>
      <c r="E779" s="26">
        <v>0</v>
      </c>
      <c r="F779" s="26">
        <v>32.799999999999997</v>
      </c>
      <c r="G779" s="26">
        <v>31.93</v>
      </c>
      <c r="I779" s="26" t="str">
        <f t="shared" si="25"/>
        <v>Y</v>
      </c>
    </row>
    <row r="780" spans="1:9" x14ac:dyDescent="0.15">
      <c r="A780" s="26">
        <f t="shared" si="24"/>
        <v>3527</v>
      </c>
      <c r="B780" s="27" t="s">
        <v>2582</v>
      </c>
      <c r="C780" s="26" t="s">
        <v>970</v>
      </c>
      <c r="D780" s="26">
        <v>-15</v>
      </c>
      <c r="E780" s="26">
        <v>0</v>
      </c>
      <c r="F780" s="26">
        <v>52</v>
      </c>
      <c r="G780" s="26">
        <v>47.45</v>
      </c>
      <c r="I780" s="26" t="str">
        <f t="shared" si="25"/>
        <v>Y</v>
      </c>
    </row>
    <row r="781" spans="1:9" x14ac:dyDescent="0.15">
      <c r="A781" s="26">
        <f t="shared" si="24"/>
        <v>3528</v>
      </c>
      <c r="B781" s="27" t="s">
        <v>2583</v>
      </c>
      <c r="C781" s="26" t="s">
        <v>971</v>
      </c>
      <c r="D781" s="26">
        <v>8</v>
      </c>
      <c r="E781" s="26">
        <v>0</v>
      </c>
      <c r="F781" s="26">
        <v>32</v>
      </c>
      <c r="G781" s="26">
        <v>31.08</v>
      </c>
      <c r="I781" s="26" t="str">
        <f t="shared" si="25"/>
        <v>Y</v>
      </c>
    </row>
    <row r="782" spans="1:9" x14ac:dyDescent="0.15">
      <c r="A782" s="26">
        <f t="shared" si="24"/>
        <v>3529</v>
      </c>
      <c r="B782" s="27" t="s">
        <v>2584</v>
      </c>
      <c r="C782" s="26" t="s">
        <v>972</v>
      </c>
      <c r="D782" s="26">
        <v>-17</v>
      </c>
      <c r="E782" s="26">
        <v>0</v>
      </c>
      <c r="F782" s="26">
        <v>365.5</v>
      </c>
      <c r="G782" s="26">
        <v>360.54</v>
      </c>
      <c r="I782" s="26" t="str">
        <f t="shared" si="25"/>
        <v>Y</v>
      </c>
    </row>
    <row r="783" spans="1:9" x14ac:dyDescent="0.15">
      <c r="A783" s="26">
        <f t="shared" si="24"/>
        <v>3531</v>
      </c>
      <c r="B783" s="27" t="s">
        <v>2585</v>
      </c>
      <c r="C783" s="26" t="s">
        <v>973</v>
      </c>
      <c r="D783" s="26">
        <v>-2</v>
      </c>
      <c r="E783" s="26">
        <v>0</v>
      </c>
      <c r="F783" s="26">
        <v>15.1</v>
      </c>
      <c r="G783" s="26">
        <v>14.21</v>
      </c>
      <c r="I783" s="26" t="str">
        <f t="shared" si="25"/>
        <v>Y</v>
      </c>
    </row>
    <row r="784" spans="1:9" x14ac:dyDescent="0.15">
      <c r="A784" s="26">
        <f t="shared" si="24"/>
        <v>3532</v>
      </c>
      <c r="B784" s="27" t="s">
        <v>2586</v>
      </c>
      <c r="C784" s="26" t="s">
        <v>974</v>
      </c>
      <c r="D784" s="26">
        <v>6</v>
      </c>
      <c r="E784" s="26">
        <v>0</v>
      </c>
      <c r="F784" s="26">
        <v>38</v>
      </c>
      <c r="G784" s="26">
        <v>36.770000000000003</v>
      </c>
      <c r="I784" s="26" t="str">
        <f t="shared" si="25"/>
        <v>Y</v>
      </c>
    </row>
    <row r="785" spans="1:9" x14ac:dyDescent="0.15">
      <c r="A785" s="26">
        <f t="shared" si="24"/>
        <v>3533</v>
      </c>
      <c r="B785" s="27" t="s">
        <v>2587</v>
      </c>
      <c r="C785" s="26" t="s">
        <v>975</v>
      </c>
      <c r="D785" s="26">
        <v>5</v>
      </c>
      <c r="E785" s="26">
        <v>-350</v>
      </c>
      <c r="F785" s="26">
        <v>109.5</v>
      </c>
      <c r="G785" s="26">
        <v>118</v>
      </c>
      <c r="I785" s="26" t="str">
        <f t="shared" si="25"/>
        <v>-</v>
      </c>
    </row>
    <row r="786" spans="1:9" x14ac:dyDescent="0.15">
      <c r="A786" s="26">
        <f t="shared" si="24"/>
        <v>3535</v>
      </c>
      <c r="B786" s="27" t="s">
        <v>2588</v>
      </c>
      <c r="C786" s="26" t="s">
        <v>976</v>
      </c>
      <c r="D786" s="26">
        <v>0</v>
      </c>
      <c r="E786" s="26">
        <v>0</v>
      </c>
      <c r="F786" s="26">
        <v>9.5</v>
      </c>
      <c r="G786" s="26">
        <v>9.59</v>
      </c>
      <c r="I786" s="26" t="str">
        <f t="shared" si="25"/>
        <v>-</v>
      </c>
    </row>
    <row r="787" spans="1:9" x14ac:dyDescent="0.15">
      <c r="A787" s="26">
        <f t="shared" si="24"/>
        <v>3536</v>
      </c>
      <c r="B787" s="27" t="s">
        <v>2589</v>
      </c>
      <c r="C787" s="26" t="s">
        <v>977</v>
      </c>
      <c r="D787" s="26">
        <v>0</v>
      </c>
      <c r="E787" s="26">
        <v>0</v>
      </c>
      <c r="F787" s="26">
        <v>5.14</v>
      </c>
      <c r="G787" s="26">
        <v>4.8099999999999996</v>
      </c>
      <c r="I787" s="26" t="str">
        <f t="shared" si="25"/>
        <v>Y</v>
      </c>
    </row>
    <row r="788" spans="1:9" x14ac:dyDescent="0.15">
      <c r="A788" s="26">
        <f t="shared" si="24"/>
        <v>3537</v>
      </c>
      <c r="B788" s="27" t="s">
        <v>2590</v>
      </c>
      <c r="C788" s="26" t="s">
        <v>978</v>
      </c>
      <c r="D788" s="26">
        <v>73</v>
      </c>
      <c r="E788" s="26">
        <v>0</v>
      </c>
      <c r="F788" s="26">
        <v>24</v>
      </c>
      <c r="G788" s="26">
        <v>22.79</v>
      </c>
      <c r="I788" s="26" t="str">
        <f t="shared" si="25"/>
        <v>Y</v>
      </c>
    </row>
    <row r="789" spans="1:9" x14ac:dyDescent="0.15">
      <c r="A789" s="26">
        <f t="shared" si="24"/>
        <v>3540</v>
      </c>
      <c r="B789" s="27" t="s">
        <v>2591</v>
      </c>
      <c r="C789" s="26" t="s">
        <v>979</v>
      </c>
      <c r="D789" s="26">
        <v>0</v>
      </c>
      <c r="E789" s="26">
        <v>0</v>
      </c>
      <c r="F789" s="26">
        <v>13.55</v>
      </c>
      <c r="G789" s="26">
        <v>13.7</v>
      </c>
      <c r="I789" s="26" t="str">
        <f t="shared" si="25"/>
        <v>-</v>
      </c>
    </row>
    <row r="790" spans="1:9" x14ac:dyDescent="0.15">
      <c r="A790" s="26">
        <f t="shared" si="24"/>
        <v>3541</v>
      </c>
      <c r="B790" s="27" t="s">
        <v>2592</v>
      </c>
      <c r="C790" s="26" t="s">
        <v>980</v>
      </c>
      <c r="D790" s="26">
        <v>6</v>
      </c>
      <c r="E790" s="26">
        <v>0</v>
      </c>
      <c r="F790" s="26">
        <v>88.7</v>
      </c>
      <c r="G790" s="26">
        <v>87.89</v>
      </c>
      <c r="I790" s="26" t="str">
        <f t="shared" si="25"/>
        <v>Y</v>
      </c>
    </row>
    <row r="791" spans="1:9" x14ac:dyDescent="0.15">
      <c r="A791" s="26">
        <f t="shared" si="24"/>
        <v>3545</v>
      </c>
      <c r="B791" s="27" t="s">
        <v>2593</v>
      </c>
      <c r="C791" s="26" t="s">
        <v>981</v>
      </c>
      <c r="D791" s="26">
        <v>-133</v>
      </c>
      <c r="E791" s="26">
        <v>0</v>
      </c>
      <c r="F791" s="26">
        <v>31.4</v>
      </c>
      <c r="G791" s="26">
        <v>30.86</v>
      </c>
      <c r="I791" s="26" t="str">
        <f t="shared" si="25"/>
        <v>Y</v>
      </c>
    </row>
    <row r="792" spans="1:9" x14ac:dyDescent="0.15">
      <c r="A792" s="26">
        <f t="shared" si="24"/>
        <v>3546</v>
      </c>
      <c r="B792" s="27" t="s">
        <v>2594</v>
      </c>
      <c r="C792" s="26" t="s">
        <v>982</v>
      </c>
      <c r="D792" s="26">
        <v>1</v>
      </c>
      <c r="E792" s="26">
        <v>0</v>
      </c>
      <c r="F792" s="26">
        <v>33.799999999999997</v>
      </c>
      <c r="G792" s="26">
        <v>33.6</v>
      </c>
      <c r="I792" s="26" t="str">
        <f t="shared" si="25"/>
        <v>Y</v>
      </c>
    </row>
    <row r="793" spans="1:9" x14ac:dyDescent="0.15">
      <c r="A793" s="26">
        <f t="shared" si="24"/>
        <v>3548</v>
      </c>
      <c r="B793" s="27" t="s">
        <v>2595</v>
      </c>
      <c r="C793" s="26" t="s">
        <v>983</v>
      </c>
      <c r="D793" s="26">
        <v>-33</v>
      </c>
      <c r="E793" s="26">
        <v>0</v>
      </c>
      <c r="F793" s="26">
        <v>44.1</v>
      </c>
      <c r="G793" s="26">
        <v>45.32</v>
      </c>
      <c r="I793" s="26" t="str">
        <f t="shared" si="25"/>
        <v>-</v>
      </c>
    </row>
    <row r="794" spans="1:9" x14ac:dyDescent="0.15">
      <c r="A794" s="26">
        <f t="shared" si="24"/>
        <v>3550</v>
      </c>
      <c r="B794" s="27" t="s">
        <v>2596</v>
      </c>
      <c r="C794" s="26" t="s">
        <v>984</v>
      </c>
      <c r="D794" s="26">
        <v>2</v>
      </c>
      <c r="E794" s="26">
        <v>0</v>
      </c>
      <c r="F794" s="26">
        <v>12.35</v>
      </c>
      <c r="G794" s="26">
        <v>12.3</v>
      </c>
      <c r="I794" s="26" t="str">
        <f t="shared" si="25"/>
        <v>Y</v>
      </c>
    </row>
    <row r="795" spans="1:9" x14ac:dyDescent="0.15">
      <c r="A795" s="26">
        <f t="shared" si="24"/>
        <v>3551</v>
      </c>
      <c r="B795" s="27" t="s">
        <v>2597</v>
      </c>
      <c r="C795" s="26" t="s">
        <v>985</v>
      </c>
      <c r="D795" s="26">
        <v>13</v>
      </c>
      <c r="E795" s="26">
        <v>0</v>
      </c>
      <c r="F795" s="26">
        <v>37.85</v>
      </c>
      <c r="G795" s="26">
        <v>37.03</v>
      </c>
      <c r="I795" s="26" t="str">
        <f t="shared" si="25"/>
        <v>Y</v>
      </c>
    </row>
    <row r="796" spans="1:9" x14ac:dyDescent="0.15">
      <c r="A796" s="26">
        <f t="shared" si="24"/>
        <v>3552</v>
      </c>
      <c r="B796" s="27" t="s">
        <v>2598</v>
      </c>
      <c r="C796" s="26" t="s">
        <v>986</v>
      </c>
      <c r="D796" s="26">
        <v>-36</v>
      </c>
      <c r="E796" s="26">
        <v>-46</v>
      </c>
      <c r="F796" s="26">
        <v>429</v>
      </c>
      <c r="G796" s="26">
        <v>418.42</v>
      </c>
      <c r="I796" s="26" t="str">
        <f t="shared" si="25"/>
        <v>Y</v>
      </c>
    </row>
    <row r="797" spans="1:9" x14ac:dyDescent="0.15">
      <c r="A797" s="26">
        <f t="shared" si="24"/>
        <v>3553</v>
      </c>
      <c r="B797" s="27" t="s">
        <v>2599</v>
      </c>
      <c r="C797" s="26" t="s">
        <v>987</v>
      </c>
      <c r="D797" s="26">
        <v>0</v>
      </c>
      <c r="E797" s="26">
        <v>0</v>
      </c>
      <c r="F797" s="26">
        <v>13.6</v>
      </c>
      <c r="G797" s="26">
        <v>12.62</v>
      </c>
      <c r="I797" s="26" t="str">
        <f t="shared" si="25"/>
        <v>Y</v>
      </c>
    </row>
    <row r="798" spans="1:9" x14ac:dyDescent="0.15">
      <c r="A798" s="26">
        <f t="shared" si="24"/>
        <v>3555</v>
      </c>
      <c r="B798" s="27" t="s">
        <v>2600</v>
      </c>
      <c r="C798" s="26" t="s">
        <v>988</v>
      </c>
      <c r="D798" s="26">
        <v>0</v>
      </c>
      <c r="E798" s="26">
        <v>0</v>
      </c>
      <c r="F798" s="26">
        <v>10.8</v>
      </c>
      <c r="G798" s="26">
        <v>10.92</v>
      </c>
      <c r="I798" s="26" t="str">
        <f t="shared" si="25"/>
        <v>-</v>
      </c>
    </row>
    <row r="799" spans="1:9" x14ac:dyDescent="0.15">
      <c r="A799" s="26">
        <f t="shared" si="24"/>
        <v>3556</v>
      </c>
      <c r="B799" s="27" t="s">
        <v>2601</v>
      </c>
      <c r="C799" s="26" t="s">
        <v>989</v>
      </c>
      <c r="D799" s="26">
        <v>-3</v>
      </c>
      <c r="E799" s="26">
        <v>0</v>
      </c>
      <c r="F799" s="26">
        <v>58.7</v>
      </c>
      <c r="G799" s="26">
        <v>57.1</v>
      </c>
      <c r="I799" s="26" t="str">
        <f t="shared" si="25"/>
        <v>Y</v>
      </c>
    </row>
    <row r="800" spans="1:9" x14ac:dyDescent="0.15">
      <c r="A800" s="26">
        <f t="shared" si="24"/>
        <v>3557</v>
      </c>
      <c r="B800" s="27" t="s">
        <v>2602</v>
      </c>
      <c r="C800" s="26" t="s">
        <v>990</v>
      </c>
      <c r="D800" s="26">
        <v>-21</v>
      </c>
      <c r="E800" s="26">
        <v>0</v>
      </c>
      <c r="F800" s="26">
        <v>4.3</v>
      </c>
      <c r="G800" s="26">
        <v>3.84</v>
      </c>
      <c r="I800" s="26" t="str">
        <f t="shared" si="25"/>
        <v>Y</v>
      </c>
    </row>
    <row r="801" spans="1:9" x14ac:dyDescent="0.15">
      <c r="A801" s="26">
        <f t="shared" si="24"/>
        <v>3558</v>
      </c>
      <c r="B801" s="27" t="s">
        <v>2603</v>
      </c>
      <c r="C801" s="26" t="s">
        <v>991</v>
      </c>
      <c r="D801" s="26">
        <v>-7</v>
      </c>
      <c r="E801" s="26">
        <v>-53</v>
      </c>
      <c r="F801" s="26">
        <v>209</v>
      </c>
      <c r="G801" s="26">
        <v>215.08</v>
      </c>
      <c r="I801" s="26" t="str">
        <f t="shared" si="25"/>
        <v>-</v>
      </c>
    </row>
    <row r="802" spans="1:9" x14ac:dyDescent="0.15">
      <c r="A802" s="26">
        <f t="shared" si="24"/>
        <v>3559</v>
      </c>
      <c r="B802" s="27" t="s">
        <v>2604</v>
      </c>
      <c r="C802" s="26" t="s">
        <v>992</v>
      </c>
      <c r="D802" s="26">
        <v>-7</v>
      </c>
      <c r="E802" s="26">
        <v>0</v>
      </c>
      <c r="F802" s="26">
        <v>20.65</v>
      </c>
      <c r="G802" s="26">
        <v>19.98</v>
      </c>
      <c r="I802" s="26" t="str">
        <f t="shared" si="25"/>
        <v>Y</v>
      </c>
    </row>
    <row r="803" spans="1:9" x14ac:dyDescent="0.15">
      <c r="A803" s="26">
        <f t="shared" si="24"/>
        <v>3561</v>
      </c>
      <c r="B803" s="27" t="s">
        <v>2605</v>
      </c>
      <c r="C803" s="26" t="s">
        <v>993</v>
      </c>
      <c r="D803" s="26">
        <v>-292</v>
      </c>
      <c r="E803" s="26">
        <v>0</v>
      </c>
      <c r="F803" s="26">
        <v>19</v>
      </c>
      <c r="G803" s="26">
        <v>19.5</v>
      </c>
      <c r="I803" s="26" t="str">
        <f t="shared" si="25"/>
        <v>-</v>
      </c>
    </row>
    <row r="804" spans="1:9" x14ac:dyDescent="0.15">
      <c r="A804" s="26">
        <f t="shared" si="24"/>
        <v>3562</v>
      </c>
      <c r="B804" s="27" t="s">
        <v>2606</v>
      </c>
      <c r="C804" s="26" t="s">
        <v>994</v>
      </c>
      <c r="D804" s="26">
        <v>0</v>
      </c>
      <c r="E804" s="26">
        <v>0</v>
      </c>
      <c r="F804" s="26">
        <v>3</v>
      </c>
      <c r="G804" s="26">
        <v>3.14</v>
      </c>
      <c r="I804" s="26" t="str">
        <f t="shared" si="25"/>
        <v>-</v>
      </c>
    </row>
    <row r="805" spans="1:9" x14ac:dyDescent="0.15">
      <c r="A805" s="26">
        <f t="shared" si="24"/>
        <v>3563</v>
      </c>
      <c r="B805" s="27" t="s">
        <v>2607</v>
      </c>
      <c r="C805" s="26" t="s">
        <v>995</v>
      </c>
      <c r="D805" s="26">
        <v>0</v>
      </c>
      <c r="E805" s="26">
        <v>0</v>
      </c>
      <c r="F805" s="26">
        <v>48</v>
      </c>
      <c r="G805" s="26">
        <v>46.75</v>
      </c>
      <c r="I805" s="26" t="str">
        <f t="shared" si="25"/>
        <v>Y</v>
      </c>
    </row>
    <row r="806" spans="1:9" x14ac:dyDescent="0.15">
      <c r="A806" s="26">
        <f t="shared" si="24"/>
        <v>3564</v>
      </c>
      <c r="B806" s="27" t="s">
        <v>2608</v>
      </c>
      <c r="C806" s="26" t="s">
        <v>996</v>
      </c>
      <c r="D806" s="26">
        <v>4</v>
      </c>
      <c r="E806" s="26">
        <v>0</v>
      </c>
      <c r="F806" s="26">
        <v>60.1</v>
      </c>
      <c r="G806" s="26">
        <v>59.95</v>
      </c>
      <c r="I806" s="26" t="str">
        <f t="shared" si="25"/>
        <v>Y</v>
      </c>
    </row>
    <row r="807" spans="1:9" x14ac:dyDescent="0.15">
      <c r="A807" s="26">
        <f t="shared" si="24"/>
        <v>3567</v>
      </c>
      <c r="B807" s="27" t="s">
        <v>2609</v>
      </c>
      <c r="C807" s="26" t="s">
        <v>997</v>
      </c>
      <c r="D807" s="26">
        <v>-9</v>
      </c>
      <c r="E807" s="26">
        <v>0</v>
      </c>
      <c r="F807" s="26">
        <v>14.4</v>
      </c>
      <c r="G807" s="26">
        <v>13.83</v>
      </c>
      <c r="I807" s="26" t="str">
        <f t="shared" si="25"/>
        <v>Y</v>
      </c>
    </row>
    <row r="808" spans="1:9" x14ac:dyDescent="0.15">
      <c r="A808" s="26">
        <f t="shared" si="24"/>
        <v>3570</v>
      </c>
      <c r="B808" s="27" t="s">
        <v>2610</v>
      </c>
      <c r="C808" s="26" t="s">
        <v>998</v>
      </c>
      <c r="D808" s="26">
        <v>-2</v>
      </c>
      <c r="E808" s="26">
        <v>0</v>
      </c>
      <c r="F808" s="26">
        <v>63</v>
      </c>
      <c r="G808" s="26">
        <v>60.56</v>
      </c>
      <c r="I808" s="26" t="str">
        <f t="shared" si="25"/>
        <v>Y</v>
      </c>
    </row>
    <row r="809" spans="1:9" x14ac:dyDescent="0.15">
      <c r="A809" s="26">
        <f t="shared" si="24"/>
        <v>3573</v>
      </c>
      <c r="B809" s="27" t="s">
        <v>2611</v>
      </c>
      <c r="C809" s="26" t="s">
        <v>999</v>
      </c>
      <c r="D809" s="26">
        <v>-10</v>
      </c>
      <c r="E809" s="26">
        <v>0</v>
      </c>
      <c r="F809" s="26">
        <v>25.95</v>
      </c>
      <c r="G809" s="26">
        <v>26.1</v>
      </c>
      <c r="I809" s="26" t="str">
        <f t="shared" si="25"/>
        <v>-</v>
      </c>
    </row>
    <row r="810" spans="1:9" x14ac:dyDescent="0.15">
      <c r="A810" s="26">
        <f t="shared" si="24"/>
        <v>3576</v>
      </c>
      <c r="B810" s="27" t="s">
        <v>2612</v>
      </c>
      <c r="C810" s="26" t="s">
        <v>1000</v>
      </c>
      <c r="D810" s="26">
        <v>-978</v>
      </c>
      <c r="E810" s="26">
        <v>-676</v>
      </c>
      <c r="F810" s="26">
        <v>22.35</v>
      </c>
      <c r="G810" s="26">
        <v>23.74</v>
      </c>
      <c r="I810" s="26" t="str">
        <f t="shared" si="25"/>
        <v>-</v>
      </c>
    </row>
    <row r="811" spans="1:9" x14ac:dyDescent="0.15">
      <c r="A811" s="26">
        <f t="shared" si="24"/>
        <v>3577</v>
      </c>
      <c r="B811" s="27" t="s">
        <v>2613</v>
      </c>
      <c r="C811" s="26" t="s">
        <v>1001</v>
      </c>
      <c r="D811" s="26">
        <v>0</v>
      </c>
      <c r="E811" s="26">
        <v>0</v>
      </c>
      <c r="F811" s="26">
        <v>31.9</v>
      </c>
      <c r="G811" s="26">
        <v>31.77</v>
      </c>
      <c r="I811" s="26" t="str">
        <f t="shared" si="25"/>
        <v>Y</v>
      </c>
    </row>
    <row r="812" spans="1:9" x14ac:dyDescent="0.15">
      <c r="A812" s="26">
        <f t="shared" si="24"/>
        <v>3579</v>
      </c>
      <c r="B812" s="27" t="s">
        <v>2614</v>
      </c>
      <c r="C812" s="26" t="s">
        <v>1002</v>
      </c>
      <c r="D812" s="26">
        <v>-5</v>
      </c>
      <c r="E812" s="26">
        <v>0</v>
      </c>
      <c r="F812" s="26">
        <v>15.45</v>
      </c>
      <c r="G812" s="26">
        <v>16.010000000000002</v>
      </c>
      <c r="I812" s="26" t="str">
        <f t="shared" si="25"/>
        <v>-</v>
      </c>
    </row>
    <row r="813" spans="1:9" x14ac:dyDescent="0.15">
      <c r="A813" s="26">
        <f t="shared" si="24"/>
        <v>3580</v>
      </c>
      <c r="B813" s="27" t="s">
        <v>2615</v>
      </c>
      <c r="C813" s="26" t="s">
        <v>1003</v>
      </c>
      <c r="D813" s="26">
        <v>-53</v>
      </c>
      <c r="E813" s="26">
        <v>0</v>
      </c>
      <c r="F813" s="26">
        <v>13.1</v>
      </c>
      <c r="G813" s="26">
        <v>11.78</v>
      </c>
      <c r="I813" s="26" t="str">
        <f t="shared" si="25"/>
        <v>Y</v>
      </c>
    </row>
    <row r="814" spans="1:9" x14ac:dyDescent="0.15">
      <c r="A814" s="26">
        <f t="shared" si="24"/>
        <v>3581</v>
      </c>
      <c r="B814" s="27" t="s">
        <v>2616</v>
      </c>
      <c r="C814" s="26" t="s">
        <v>1004</v>
      </c>
      <c r="D814" s="26">
        <v>-8</v>
      </c>
      <c r="E814" s="26">
        <v>0</v>
      </c>
      <c r="F814" s="26">
        <v>14.8</v>
      </c>
      <c r="G814" s="26">
        <v>14.26</v>
      </c>
      <c r="I814" s="26" t="str">
        <f t="shared" si="25"/>
        <v>Y</v>
      </c>
    </row>
    <row r="815" spans="1:9" x14ac:dyDescent="0.15">
      <c r="A815" s="26">
        <f t="shared" si="24"/>
        <v>3583</v>
      </c>
      <c r="B815" s="27" t="s">
        <v>2617</v>
      </c>
      <c r="C815" s="26" t="s">
        <v>1005</v>
      </c>
      <c r="D815" s="26">
        <v>-4</v>
      </c>
      <c r="E815" s="26">
        <v>50</v>
      </c>
      <c r="F815" s="26">
        <v>76</v>
      </c>
      <c r="G815" s="26">
        <v>72.7</v>
      </c>
      <c r="I815" s="26" t="str">
        <f t="shared" si="25"/>
        <v>Y</v>
      </c>
    </row>
    <row r="816" spans="1:9" x14ac:dyDescent="0.15">
      <c r="A816" s="26">
        <f t="shared" si="24"/>
        <v>3584</v>
      </c>
      <c r="B816" s="27" t="s">
        <v>2618</v>
      </c>
      <c r="C816" s="26" t="s">
        <v>1006</v>
      </c>
      <c r="D816" s="26">
        <v>-19</v>
      </c>
      <c r="E816" s="26">
        <v>0</v>
      </c>
      <c r="F816" s="26">
        <v>4.2</v>
      </c>
      <c r="G816" s="26">
        <v>4.05</v>
      </c>
      <c r="I816" s="26" t="str">
        <f t="shared" si="25"/>
        <v>Y</v>
      </c>
    </row>
    <row r="817" spans="1:9" x14ac:dyDescent="0.15">
      <c r="A817" s="26">
        <f t="shared" si="24"/>
        <v>3587</v>
      </c>
      <c r="B817" s="27" t="s">
        <v>2619</v>
      </c>
      <c r="C817" s="26" t="s">
        <v>1007</v>
      </c>
      <c r="D817" s="26">
        <v>-19</v>
      </c>
      <c r="E817" s="26">
        <v>0</v>
      </c>
      <c r="F817" s="26">
        <v>78.400000000000006</v>
      </c>
      <c r="G817" s="26">
        <v>74.69</v>
      </c>
      <c r="I817" s="26" t="str">
        <f t="shared" si="25"/>
        <v>Y</v>
      </c>
    </row>
    <row r="818" spans="1:9" x14ac:dyDescent="0.15">
      <c r="A818" s="26">
        <f t="shared" si="24"/>
        <v>3588</v>
      </c>
      <c r="B818" s="27" t="s">
        <v>2620</v>
      </c>
      <c r="C818" s="26" t="s">
        <v>1008</v>
      </c>
      <c r="D818" s="26">
        <v>-2</v>
      </c>
      <c r="E818" s="26">
        <v>0</v>
      </c>
      <c r="F818" s="26">
        <v>30.9</v>
      </c>
      <c r="G818" s="26">
        <v>30.3</v>
      </c>
      <c r="I818" s="26" t="str">
        <f t="shared" si="25"/>
        <v>Y</v>
      </c>
    </row>
    <row r="819" spans="1:9" x14ac:dyDescent="0.15">
      <c r="A819" s="26">
        <f t="shared" si="24"/>
        <v>3591</v>
      </c>
      <c r="B819" s="27" t="s">
        <v>2621</v>
      </c>
      <c r="C819" s="26" t="s">
        <v>1009</v>
      </c>
      <c r="D819" s="26">
        <v>3</v>
      </c>
      <c r="E819" s="26">
        <v>0</v>
      </c>
      <c r="F819" s="26">
        <v>16.75</v>
      </c>
      <c r="G819" s="26">
        <v>16.55</v>
      </c>
      <c r="I819" s="26" t="str">
        <f t="shared" si="25"/>
        <v>Y</v>
      </c>
    </row>
    <row r="820" spans="1:9" x14ac:dyDescent="0.15">
      <c r="A820" s="26">
        <f t="shared" si="24"/>
        <v>3593</v>
      </c>
      <c r="B820" s="27" t="s">
        <v>2622</v>
      </c>
      <c r="C820" s="26" t="s">
        <v>1010</v>
      </c>
      <c r="D820" s="26">
        <v>17</v>
      </c>
      <c r="E820" s="26">
        <v>0</v>
      </c>
      <c r="F820" s="26">
        <v>8.52</v>
      </c>
      <c r="G820" s="26">
        <v>8.58</v>
      </c>
      <c r="I820" s="26" t="str">
        <f t="shared" si="25"/>
        <v>-</v>
      </c>
    </row>
    <row r="821" spans="1:9" x14ac:dyDescent="0.15">
      <c r="A821" s="26">
        <f t="shared" si="24"/>
        <v>3594</v>
      </c>
      <c r="B821" s="27" t="s">
        <v>2623</v>
      </c>
      <c r="C821" s="26" t="s">
        <v>1011</v>
      </c>
      <c r="D821" s="26">
        <v>28</v>
      </c>
      <c r="E821" s="26">
        <v>0</v>
      </c>
      <c r="F821" s="26">
        <v>30.25</v>
      </c>
      <c r="G821" s="26">
        <v>29.95</v>
      </c>
      <c r="I821" s="26" t="str">
        <f t="shared" si="25"/>
        <v>Y</v>
      </c>
    </row>
    <row r="822" spans="1:9" x14ac:dyDescent="0.15">
      <c r="A822" s="26">
        <f t="shared" si="24"/>
        <v>3596</v>
      </c>
      <c r="B822" s="27" t="s">
        <v>2624</v>
      </c>
      <c r="C822" s="26" t="s">
        <v>1012</v>
      </c>
      <c r="D822" s="26">
        <v>-212</v>
      </c>
      <c r="E822" s="26">
        <v>-400</v>
      </c>
      <c r="F822" s="26">
        <v>49.2</v>
      </c>
      <c r="G822" s="26">
        <v>50.24</v>
      </c>
      <c r="I822" s="26" t="str">
        <f t="shared" si="25"/>
        <v>-</v>
      </c>
    </row>
    <row r="823" spans="1:9" x14ac:dyDescent="0.15">
      <c r="A823" s="26">
        <f t="shared" si="24"/>
        <v>3598</v>
      </c>
      <c r="B823" s="27" t="s">
        <v>2625</v>
      </c>
      <c r="C823" s="26" t="s">
        <v>1013</v>
      </c>
      <c r="D823" s="26">
        <v>22</v>
      </c>
      <c r="E823" s="26">
        <v>0</v>
      </c>
      <c r="F823" s="26">
        <v>49.55</v>
      </c>
      <c r="G823" s="26">
        <v>49.5</v>
      </c>
      <c r="I823" s="26" t="str">
        <f t="shared" si="25"/>
        <v>Y</v>
      </c>
    </row>
    <row r="824" spans="1:9" x14ac:dyDescent="0.15">
      <c r="A824" s="26">
        <f t="shared" si="24"/>
        <v>3605</v>
      </c>
      <c r="B824" s="27" t="s">
        <v>2626</v>
      </c>
      <c r="C824" s="26" t="s">
        <v>1014</v>
      </c>
      <c r="D824" s="26">
        <v>-364</v>
      </c>
      <c r="E824" s="26">
        <v>0</v>
      </c>
      <c r="F824" s="26">
        <v>39.15</v>
      </c>
      <c r="G824" s="26">
        <v>38.700000000000003</v>
      </c>
      <c r="I824" s="26" t="str">
        <f t="shared" si="25"/>
        <v>Y</v>
      </c>
    </row>
    <row r="825" spans="1:9" x14ac:dyDescent="0.15">
      <c r="A825" s="26">
        <f t="shared" si="24"/>
        <v>3607</v>
      </c>
      <c r="B825" s="27" t="s">
        <v>2627</v>
      </c>
      <c r="C825" s="26" t="s">
        <v>1015</v>
      </c>
      <c r="D825" s="26">
        <v>22</v>
      </c>
      <c r="E825" s="26">
        <v>0</v>
      </c>
      <c r="F825" s="26">
        <v>48.3</v>
      </c>
      <c r="G825" s="26">
        <v>47.03</v>
      </c>
      <c r="I825" s="26" t="str">
        <f t="shared" si="25"/>
        <v>Y</v>
      </c>
    </row>
    <row r="826" spans="1:9" x14ac:dyDescent="0.15">
      <c r="A826" s="26">
        <f t="shared" si="24"/>
        <v>3609</v>
      </c>
      <c r="B826" s="27" t="s">
        <v>2628</v>
      </c>
      <c r="C826" s="26" t="s">
        <v>1016</v>
      </c>
      <c r="D826" s="26">
        <v>-4</v>
      </c>
      <c r="E826" s="26">
        <v>0</v>
      </c>
      <c r="F826" s="26">
        <v>12.2</v>
      </c>
      <c r="G826" s="26">
        <v>11.98</v>
      </c>
      <c r="I826" s="26" t="str">
        <f t="shared" si="25"/>
        <v>Y</v>
      </c>
    </row>
    <row r="827" spans="1:9" x14ac:dyDescent="0.15">
      <c r="A827" s="26">
        <f t="shared" si="24"/>
        <v>3611</v>
      </c>
      <c r="B827" s="27" t="s">
        <v>2629</v>
      </c>
      <c r="C827" s="26" t="s">
        <v>1017</v>
      </c>
      <c r="D827" s="26">
        <v>-202</v>
      </c>
      <c r="E827" s="26">
        <v>-60</v>
      </c>
      <c r="F827" s="26">
        <v>278</v>
      </c>
      <c r="G827" s="26">
        <v>301.04000000000002</v>
      </c>
      <c r="I827" s="26" t="str">
        <f t="shared" si="25"/>
        <v>-</v>
      </c>
    </row>
    <row r="828" spans="1:9" x14ac:dyDescent="0.15">
      <c r="A828" s="26">
        <f t="shared" si="24"/>
        <v>3615</v>
      </c>
      <c r="B828" s="27" t="s">
        <v>2630</v>
      </c>
      <c r="C828" s="26" t="s">
        <v>1018</v>
      </c>
      <c r="D828" s="26">
        <v>-5</v>
      </c>
      <c r="E828" s="26">
        <v>0</v>
      </c>
      <c r="F828" s="26">
        <v>22.15</v>
      </c>
      <c r="G828" s="26">
        <v>23.44</v>
      </c>
      <c r="I828" s="26" t="str">
        <f t="shared" si="25"/>
        <v>-</v>
      </c>
    </row>
    <row r="829" spans="1:9" x14ac:dyDescent="0.15">
      <c r="A829" s="26">
        <f t="shared" si="24"/>
        <v>3617</v>
      </c>
      <c r="B829" s="27" t="s">
        <v>2631</v>
      </c>
      <c r="C829" s="26" t="s">
        <v>1019</v>
      </c>
      <c r="D829" s="26">
        <v>-83</v>
      </c>
      <c r="E829" s="26">
        <v>5</v>
      </c>
      <c r="F829" s="26">
        <v>103.5</v>
      </c>
      <c r="G829" s="26">
        <v>108.71</v>
      </c>
      <c r="I829" s="26" t="str">
        <f t="shared" si="25"/>
        <v>-</v>
      </c>
    </row>
    <row r="830" spans="1:9" x14ac:dyDescent="0.15">
      <c r="A830" s="26">
        <f t="shared" si="24"/>
        <v>3622</v>
      </c>
      <c r="B830" s="27" t="s">
        <v>2632</v>
      </c>
      <c r="C830" s="26" t="s">
        <v>1020</v>
      </c>
      <c r="D830" s="26">
        <v>-4</v>
      </c>
      <c r="E830" s="26">
        <v>0</v>
      </c>
      <c r="F830" s="26">
        <v>11.5</v>
      </c>
      <c r="G830" s="26">
        <v>11.09</v>
      </c>
      <c r="I830" s="26" t="str">
        <f t="shared" si="25"/>
        <v>Y</v>
      </c>
    </row>
    <row r="831" spans="1:9" x14ac:dyDescent="0.15">
      <c r="A831" s="26">
        <f t="shared" si="24"/>
        <v>3623</v>
      </c>
      <c r="B831" s="27" t="s">
        <v>2633</v>
      </c>
      <c r="C831" s="26" t="s">
        <v>1021</v>
      </c>
      <c r="D831" s="26">
        <v>16</v>
      </c>
      <c r="E831" s="26">
        <v>0</v>
      </c>
      <c r="F831" s="26">
        <v>71.7</v>
      </c>
      <c r="G831" s="26">
        <v>67.430000000000007</v>
      </c>
      <c r="I831" s="26" t="str">
        <f t="shared" si="25"/>
        <v>Y</v>
      </c>
    </row>
    <row r="832" spans="1:9" x14ac:dyDescent="0.15">
      <c r="A832" s="26">
        <f t="shared" si="24"/>
        <v>3624</v>
      </c>
      <c r="B832" s="27" t="s">
        <v>2634</v>
      </c>
      <c r="C832" s="26" t="s">
        <v>1022</v>
      </c>
      <c r="D832" s="26">
        <v>39</v>
      </c>
      <c r="E832" s="26">
        <v>0</v>
      </c>
      <c r="F832" s="26">
        <v>25.2</v>
      </c>
      <c r="G832" s="26">
        <v>25.14</v>
      </c>
      <c r="I832" s="26" t="str">
        <f t="shared" si="25"/>
        <v>Y</v>
      </c>
    </row>
    <row r="833" spans="1:9" x14ac:dyDescent="0.15">
      <c r="A833" s="26">
        <f t="shared" si="24"/>
        <v>3625</v>
      </c>
      <c r="B833" s="27" t="s">
        <v>2635</v>
      </c>
      <c r="C833" s="26" t="s">
        <v>1023</v>
      </c>
      <c r="D833" s="26">
        <v>0</v>
      </c>
      <c r="E833" s="26">
        <v>0</v>
      </c>
      <c r="F833" s="26">
        <v>9.0500000000000007</v>
      </c>
      <c r="G833" s="26">
        <v>8.98</v>
      </c>
      <c r="I833" s="26" t="str">
        <f t="shared" si="25"/>
        <v>Y</v>
      </c>
    </row>
    <row r="834" spans="1:9" x14ac:dyDescent="0.15">
      <c r="A834" s="26">
        <f t="shared" si="24"/>
        <v>3628</v>
      </c>
      <c r="B834" s="27" t="s">
        <v>2636</v>
      </c>
      <c r="C834" s="26" t="s">
        <v>1024</v>
      </c>
      <c r="D834" s="26">
        <v>0</v>
      </c>
      <c r="E834" s="26">
        <v>0</v>
      </c>
      <c r="F834" s="26">
        <v>50.9</v>
      </c>
      <c r="G834" s="26">
        <v>49.33</v>
      </c>
      <c r="I834" s="26" t="str">
        <f t="shared" si="25"/>
        <v>Y</v>
      </c>
    </row>
    <row r="835" spans="1:9" x14ac:dyDescent="0.15">
      <c r="A835" s="26">
        <f t="shared" si="24"/>
        <v>3629</v>
      </c>
      <c r="B835" s="27" t="s">
        <v>2637</v>
      </c>
      <c r="C835" s="26" t="s">
        <v>1025</v>
      </c>
      <c r="D835" s="26">
        <v>-5</v>
      </c>
      <c r="E835" s="26">
        <v>0</v>
      </c>
      <c r="F835" s="26">
        <v>40.5</v>
      </c>
      <c r="G835" s="26">
        <v>40.56</v>
      </c>
      <c r="I835" s="26" t="str">
        <f t="shared" si="25"/>
        <v>-</v>
      </c>
    </row>
    <row r="836" spans="1:9" x14ac:dyDescent="0.15">
      <c r="A836" s="26">
        <f t="shared" si="24"/>
        <v>3630</v>
      </c>
      <c r="B836" s="27" t="s">
        <v>2638</v>
      </c>
      <c r="C836" s="26" t="s">
        <v>1026</v>
      </c>
      <c r="D836" s="26">
        <v>-14</v>
      </c>
      <c r="E836" s="26">
        <v>0</v>
      </c>
      <c r="F836" s="26">
        <v>17</v>
      </c>
      <c r="G836" s="26">
        <v>15.9</v>
      </c>
      <c r="I836" s="26" t="str">
        <f t="shared" si="25"/>
        <v>Y</v>
      </c>
    </row>
    <row r="837" spans="1:9" x14ac:dyDescent="0.15">
      <c r="A837" s="26">
        <f t="shared" si="24"/>
        <v>3631</v>
      </c>
      <c r="B837" s="27" t="s">
        <v>2639</v>
      </c>
      <c r="C837" s="26" t="s">
        <v>1027</v>
      </c>
      <c r="D837" s="26">
        <v>6</v>
      </c>
      <c r="E837" s="26">
        <v>0</v>
      </c>
      <c r="F837" s="26">
        <v>22.5</v>
      </c>
      <c r="G837" s="26">
        <v>22.15</v>
      </c>
      <c r="I837" s="26" t="str">
        <f t="shared" si="25"/>
        <v>Y</v>
      </c>
    </row>
    <row r="838" spans="1:9" x14ac:dyDescent="0.15">
      <c r="A838" s="26">
        <f t="shared" si="24"/>
        <v>3632</v>
      </c>
      <c r="B838" s="27" t="s">
        <v>2640</v>
      </c>
      <c r="C838" s="26" t="s">
        <v>1028</v>
      </c>
      <c r="D838" s="26">
        <v>112</v>
      </c>
      <c r="E838" s="26">
        <v>0</v>
      </c>
      <c r="F838" s="26">
        <v>42.2</v>
      </c>
      <c r="G838" s="26">
        <v>32.82</v>
      </c>
      <c r="I838" s="26" t="str">
        <f t="shared" si="25"/>
        <v>Y</v>
      </c>
    </row>
    <row r="839" spans="1:9" x14ac:dyDescent="0.15">
      <c r="A839" s="26">
        <f t="shared" ref="A839:A902" si="26">VALUE(B839)</f>
        <v>3642</v>
      </c>
      <c r="B839" s="27" t="s">
        <v>2641</v>
      </c>
      <c r="C839" s="26" t="s">
        <v>1029</v>
      </c>
      <c r="D839" s="26">
        <v>61</v>
      </c>
      <c r="E839" s="26">
        <v>0</v>
      </c>
      <c r="F839" s="26">
        <v>27.5</v>
      </c>
      <c r="G839" s="26">
        <v>27.37</v>
      </c>
      <c r="I839" s="26" t="str">
        <f t="shared" ref="I839:I902" si="27">IF(F839&gt;G839,"Y","-")</f>
        <v>Y</v>
      </c>
    </row>
    <row r="840" spans="1:9" x14ac:dyDescent="0.15">
      <c r="A840" s="26">
        <f t="shared" si="26"/>
        <v>3645</v>
      </c>
      <c r="B840" s="27" t="s">
        <v>2642</v>
      </c>
      <c r="C840" s="26" t="s">
        <v>1030</v>
      </c>
      <c r="D840" s="26">
        <v>10</v>
      </c>
      <c r="E840" s="26">
        <v>0</v>
      </c>
      <c r="F840" s="26">
        <v>27.5</v>
      </c>
      <c r="G840" s="26">
        <v>27.24</v>
      </c>
      <c r="I840" s="26" t="str">
        <f t="shared" si="27"/>
        <v>Y</v>
      </c>
    </row>
    <row r="841" spans="1:9" x14ac:dyDescent="0.15">
      <c r="A841" s="26">
        <f t="shared" si="26"/>
        <v>3646</v>
      </c>
      <c r="B841" s="27" t="s">
        <v>2643</v>
      </c>
      <c r="C841" s="26" t="s">
        <v>1031</v>
      </c>
      <c r="D841" s="26">
        <v>0</v>
      </c>
      <c r="E841" s="26">
        <v>0</v>
      </c>
      <c r="F841" s="26">
        <v>13.45</v>
      </c>
      <c r="G841" s="26">
        <v>12.85</v>
      </c>
      <c r="I841" s="26" t="str">
        <f t="shared" si="27"/>
        <v>Y</v>
      </c>
    </row>
    <row r="842" spans="1:9" x14ac:dyDescent="0.15">
      <c r="A842" s="26">
        <f t="shared" si="26"/>
        <v>3652</v>
      </c>
      <c r="B842" s="27" t="s">
        <v>2644</v>
      </c>
      <c r="C842" s="26" t="s">
        <v>1032</v>
      </c>
      <c r="D842" s="26">
        <v>0</v>
      </c>
      <c r="E842" s="26">
        <v>0</v>
      </c>
      <c r="F842" s="26">
        <v>17</v>
      </c>
      <c r="G842" s="26">
        <v>16.399999999999999</v>
      </c>
      <c r="I842" s="26" t="str">
        <f t="shared" si="27"/>
        <v>Y</v>
      </c>
    </row>
    <row r="843" spans="1:9" x14ac:dyDescent="0.15">
      <c r="A843" s="26">
        <f t="shared" si="26"/>
        <v>3653</v>
      </c>
      <c r="B843" s="27" t="s">
        <v>2645</v>
      </c>
      <c r="C843" s="26" t="s">
        <v>1033</v>
      </c>
      <c r="D843" s="26">
        <v>37</v>
      </c>
      <c r="E843" s="26">
        <v>0</v>
      </c>
      <c r="F843" s="26">
        <v>47.5</v>
      </c>
      <c r="G843" s="26">
        <v>45.67</v>
      </c>
      <c r="I843" s="26" t="str">
        <f t="shared" si="27"/>
        <v>Y</v>
      </c>
    </row>
    <row r="844" spans="1:9" x14ac:dyDescent="0.15">
      <c r="A844" s="26">
        <f t="shared" si="26"/>
        <v>3658</v>
      </c>
      <c r="B844" s="27" t="s">
        <v>2646</v>
      </c>
      <c r="C844" s="26" t="s">
        <v>1034</v>
      </c>
      <c r="D844" s="26">
        <v>68</v>
      </c>
      <c r="E844" s="26">
        <v>0</v>
      </c>
      <c r="F844" s="26">
        <v>878</v>
      </c>
      <c r="G844" s="26">
        <v>852.5</v>
      </c>
      <c r="I844" s="26" t="str">
        <f t="shared" si="27"/>
        <v>Y</v>
      </c>
    </row>
    <row r="845" spans="1:9" x14ac:dyDescent="0.15">
      <c r="A845" s="26">
        <f t="shared" si="26"/>
        <v>3661</v>
      </c>
      <c r="B845" s="27" t="s">
        <v>2647</v>
      </c>
      <c r="C845" s="26" t="s">
        <v>1035</v>
      </c>
      <c r="D845" s="26">
        <v>-13</v>
      </c>
      <c r="E845" s="26">
        <v>0</v>
      </c>
      <c r="F845" s="26">
        <v>37.4</v>
      </c>
      <c r="G845" s="26">
        <v>36.94</v>
      </c>
      <c r="I845" s="26" t="str">
        <f t="shared" si="27"/>
        <v>Y</v>
      </c>
    </row>
    <row r="846" spans="1:9" x14ac:dyDescent="0.15">
      <c r="A846" s="26">
        <f t="shared" si="26"/>
        <v>3662</v>
      </c>
      <c r="B846" s="27" t="s">
        <v>2648</v>
      </c>
      <c r="C846" s="26" t="s">
        <v>1036</v>
      </c>
      <c r="D846" s="26">
        <v>385</v>
      </c>
      <c r="E846" s="26">
        <v>0</v>
      </c>
      <c r="F846" s="26">
        <v>101</v>
      </c>
      <c r="G846" s="26">
        <v>92.64</v>
      </c>
      <c r="I846" s="26" t="str">
        <f t="shared" si="27"/>
        <v>Y</v>
      </c>
    </row>
    <row r="847" spans="1:9" x14ac:dyDescent="0.15">
      <c r="A847" s="26">
        <f t="shared" si="26"/>
        <v>3663</v>
      </c>
      <c r="B847" s="27" t="s">
        <v>2649</v>
      </c>
      <c r="C847" s="26" t="s">
        <v>1037</v>
      </c>
      <c r="D847" s="26">
        <v>0</v>
      </c>
      <c r="E847" s="26">
        <v>0</v>
      </c>
      <c r="F847" s="26">
        <v>16.2</v>
      </c>
      <c r="G847" s="26">
        <v>15.96</v>
      </c>
      <c r="I847" s="26" t="str">
        <f t="shared" si="27"/>
        <v>Y</v>
      </c>
    </row>
    <row r="848" spans="1:9" x14ac:dyDescent="0.15">
      <c r="A848" s="26">
        <f t="shared" si="26"/>
        <v>3664</v>
      </c>
      <c r="B848" s="27" t="s">
        <v>2650</v>
      </c>
      <c r="C848" s="26" t="s">
        <v>1038</v>
      </c>
      <c r="D848" s="26">
        <v>-5</v>
      </c>
      <c r="E848" s="26">
        <v>0</v>
      </c>
      <c r="F848" s="26">
        <v>14.8</v>
      </c>
      <c r="G848" s="26">
        <v>14.25</v>
      </c>
      <c r="I848" s="26" t="str">
        <f t="shared" si="27"/>
        <v>Y</v>
      </c>
    </row>
    <row r="849" spans="1:9" x14ac:dyDescent="0.15">
      <c r="A849" s="26">
        <f t="shared" si="26"/>
        <v>3665</v>
      </c>
      <c r="B849" s="27" t="s">
        <v>2651</v>
      </c>
      <c r="C849" s="26" t="s">
        <v>1039</v>
      </c>
      <c r="D849" s="26">
        <v>-363</v>
      </c>
      <c r="E849" s="26">
        <v>-248</v>
      </c>
      <c r="F849" s="26">
        <v>153</v>
      </c>
      <c r="G849" s="26">
        <v>162.38</v>
      </c>
      <c r="I849" s="26" t="str">
        <f t="shared" si="27"/>
        <v>-</v>
      </c>
    </row>
    <row r="850" spans="1:9" x14ac:dyDescent="0.15">
      <c r="A850" s="26">
        <f t="shared" si="26"/>
        <v>3666</v>
      </c>
      <c r="B850" s="27" t="s">
        <v>2652</v>
      </c>
      <c r="C850" s="26" t="s">
        <v>1040</v>
      </c>
      <c r="D850" s="26">
        <v>-44</v>
      </c>
      <c r="E850" s="26">
        <v>76</v>
      </c>
      <c r="F850" s="26">
        <v>39.15</v>
      </c>
      <c r="G850" s="26">
        <v>34.729999999999997</v>
      </c>
      <c r="I850" s="26" t="str">
        <f t="shared" si="27"/>
        <v>Y</v>
      </c>
    </row>
    <row r="851" spans="1:9" x14ac:dyDescent="0.15">
      <c r="A851" s="26">
        <f t="shared" si="26"/>
        <v>3669</v>
      </c>
      <c r="B851" s="27" t="s">
        <v>2653</v>
      </c>
      <c r="C851" s="26" t="s">
        <v>1041</v>
      </c>
      <c r="D851" s="26">
        <v>17</v>
      </c>
      <c r="E851" s="26">
        <v>0</v>
      </c>
      <c r="F851" s="26">
        <v>16.2</v>
      </c>
      <c r="G851" s="26">
        <v>15.1</v>
      </c>
      <c r="I851" s="26" t="str">
        <f t="shared" si="27"/>
        <v>Y</v>
      </c>
    </row>
    <row r="852" spans="1:9" x14ac:dyDescent="0.15">
      <c r="A852" s="26">
        <f t="shared" si="26"/>
        <v>3672</v>
      </c>
      <c r="B852" s="27" t="s">
        <v>2654</v>
      </c>
      <c r="C852" s="26" t="s">
        <v>1042</v>
      </c>
      <c r="D852" s="26">
        <v>-1</v>
      </c>
      <c r="E852" s="26">
        <v>0</v>
      </c>
      <c r="F852" s="26">
        <v>36.6</v>
      </c>
      <c r="G852" s="26">
        <v>35.979999999999997</v>
      </c>
      <c r="I852" s="26" t="str">
        <f t="shared" si="27"/>
        <v>Y</v>
      </c>
    </row>
    <row r="853" spans="1:9" x14ac:dyDescent="0.15">
      <c r="A853" s="26">
        <f t="shared" si="26"/>
        <v>3673</v>
      </c>
      <c r="B853" s="27" t="s">
        <v>2655</v>
      </c>
      <c r="C853" s="26" t="s">
        <v>1043</v>
      </c>
      <c r="D853" s="26">
        <v>-374</v>
      </c>
      <c r="E853" s="26">
        <v>0</v>
      </c>
      <c r="F853" s="26">
        <v>74</v>
      </c>
      <c r="G853" s="26">
        <v>70.930000000000007</v>
      </c>
      <c r="I853" s="26" t="str">
        <f t="shared" si="27"/>
        <v>Y</v>
      </c>
    </row>
    <row r="854" spans="1:9" x14ac:dyDescent="0.15">
      <c r="A854" s="26">
        <f t="shared" si="26"/>
        <v>3675</v>
      </c>
      <c r="B854" s="27" t="s">
        <v>2656</v>
      </c>
      <c r="C854" s="26" t="s">
        <v>1044</v>
      </c>
      <c r="D854" s="26">
        <v>0</v>
      </c>
      <c r="E854" s="26">
        <v>0</v>
      </c>
      <c r="F854" s="26">
        <v>25.55</v>
      </c>
      <c r="G854" s="26">
        <v>24.9</v>
      </c>
      <c r="I854" s="26" t="str">
        <f t="shared" si="27"/>
        <v>Y</v>
      </c>
    </row>
    <row r="855" spans="1:9" x14ac:dyDescent="0.15">
      <c r="A855" s="26">
        <f t="shared" si="26"/>
        <v>3679</v>
      </c>
      <c r="B855" s="27" t="s">
        <v>2657</v>
      </c>
      <c r="C855" s="26" t="s">
        <v>1045</v>
      </c>
      <c r="D855" s="26">
        <v>-6</v>
      </c>
      <c r="E855" s="26">
        <v>0</v>
      </c>
      <c r="F855" s="26">
        <v>47.45</v>
      </c>
      <c r="G855" s="26">
        <v>44.47</v>
      </c>
      <c r="I855" s="26" t="str">
        <f t="shared" si="27"/>
        <v>Y</v>
      </c>
    </row>
    <row r="856" spans="1:9" x14ac:dyDescent="0.15">
      <c r="A856" s="26">
        <f t="shared" si="26"/>
        <v>3680</v>
      </c>
      <c r="B856" s="27" t="s">
        <v>2658</v>
      </c>
      <c r="C856" s="26" t="s">
        <v>1046</v>
      </c>
      <c r="D856" s="26">
        <v>13</v>
      </c>
      <c r="E856" s="26">
        <v>0</v>
      </c>
      <c r="F856" s="26">
        <v>33</v>
      </c>
      <c r="G856" s="26">
        <v>31.8</v>
      </c>
      <c r="I856" s="26" t="str">
        <f t="shared" si="27"/>
        <v>Y</v>
      </c>
    </row>
    <row r="857" spans="1:9" x14ac:dyDescent="0.15">
      <c r="A857" s="26">
        <f t="shared" si="26"/>
        <v>3682</v>
      </c>
      <c r="B857" s="27" t="s">
        <v>2659</v>
      </c>
      <c r="C857" s="26" t="s">
        <v>1047</v>
      </c>
      <c r="D857" s="26">
        <v>2216</v>
      </c>
      <c r="E857" s="26">
        <v>0</v>
      </c>
      <c r="F857" s="26">
        <v>11.65</v>
      </c>
      <c r="G857" s="26">
        <v>11.34</v>
      </c>
      <c r="I857" s="26" t="str">
        <f t="shared" si="27"/>
        <v>Y</v>
      </c>
    </row>
    <row r="858" spans="1:9" x14ac:dyDescent="0.15">
      <c r="A858" s="26">
        <f t="shared" si="26"/>
        <v>3684</v>
      </c>
      <c r="B858" s="27" t="s">
        <v>2660</v>
      </c>
      <c r="C858" s="26" t="s">
        <v>1048</v>
      </c>
      <c r="D858" s="26">
        <v>-12</v>
      </c>
      <c r="E858" s="26">
        <v>0</v>
      </c>
      <c r="F858" s="26">
        <v>58.7</v>
      </c>
      <c r="G858" s="26">
        <v>56.32</v>
      </c>
      <c r="I858" s="26" t="str">
        <f t="shared" si="27"/>
        <v>Y</v>
      </c>
    </row>
    <row r="859" spans="1:9" x14ac:dyDescent="0.15">
      <c r="A859" s="26">
        <f t="shared" si="26"/>
        <v>3685</v>
      </c>
      <c r="B859" s="27" t="s">
        <v>2661</v>
      </c>
      <c r="C859" s="26" t="s">
        <v>1049</v>
      </c>
      <c r="D859" s="26">
        <v>-1</v>
      </c>
      <c r="E859" s="26">
        <v>0</v>
      </c>
      <c r="F859" s="26">
        <v>67</v>
      </c>
      <c r="G859" s="26">
        <v>71.27</v>
      </c>
      <c r="I859" s="26" t="str">
        <f t="shared" si="27"/>
        <v>-</v>
      </c>
    </row>
    <row r="860" spans="1:9" x14ac:dyDescent="0.15">
      <c r="A860" s="26">
        <f t="shared" si="26"/>
        <v>3686</v>
      </c>
      <c r="B860" s="27" t="s">
        <v>2662</v>
      </c>
      <c r="C860" s="26" t="s">
        <v>1050</v>
      </c>
      <c r="D860" s="26">
        <v>-126</v>
      </c>
      <c r="E860" s="26">
        <v>0</v>
      </c>
      <c r="F860" s="26">
        <v>10.35</v>
      </c>
      <c r="G860" s="26">
        <v>10.46</v>
      </c>
      <c r="I860" s="26" t="str">
        <f t="shared" si="27"/>
        <v>-</v>
      </c>
    </row>
    <row r="861" spans="1:9" x14ac:dyDescent="0.15">
      <c r="A861" s="26">
        <f t="shared" si="26"/>
        <v>3687</v>
      </c>
      <c r="B861" s="27" t="s">
        <v>2663</v>
      </c>
      <c r="C861" s="26" t="s">
        <v>1051</v>
      </c>
      <c r="D861" s="26">
        <v>40</v>
      </c>
      <c r="E861" s="26">
        <v>0</v>
      </c>
      <c r="F861" s="26">
        <v>66</v>
      </c>
      <c r="G861" s="26">
        <v>62.63</v>
      </c>
      <c r="I861" s="26" t="str">
        <f t="shared" si="27"/>
        <v>Y</v>
      </c>
    </row>
    <row r="862" spans="1:9" x14ac:dyDescent="0.15">
      <c r="A862" s="26">
        <f t="shared" si="26"/>
        <v>3689</v>
      </c>
      <c r="B862" s="27" t="s">
        <v>2664</v>
      </c>
      <c r="C862" s="26" t="s">
        <v>1052</v>
      </c>
      <c r="D862" s="26">
        <v>51</v>
      </c>
      <c r="E862" s="26">
        <v>0</v>
      </c>
      <c r="F862" s="26">
        <v>38.4</v>
      </c>
      <c r="G862" s="26">
        <v>36.85</v>
      </c>
      <c r="I862" s="26" t="str">
        <f t="shared" si="27"/>
        <v>Y</v>
      </c>
    </row>
    <row r="863" spans="1:9" x14ac:dyDescent="0.15">
      <c r="A863" s="26">
        <f t="shared" si="26"/>
        <v>3691</v>
      </c>
      <c r="B863" s="27" t="s">
        <v>2665</v>
      </c>
      <c r="C863" s="26" t="s">
        <v>1053</v>
      </c>
      <c r="D863" s="26">
        <v>-115</v>
      </c>
      <c r="E863" s="26">
        <v>-271</v>
      </c>
      <c r="F863" s="26">
        <v>591</v>
      </c>
      <c r="G863" s="26">
        <v>629</v>
      </c>
      <c r="I863" s="26" t="str">
        <f t="shared" si="27"/>
        <v>-</v>
      </c>
    </row>
    <row r="864" spans="1:9" x14ac:dyDescent="0.15">
      <c r="A864" s="26">
        <f t="shared" si="26"/>
        <v>3693</v>
      </c>
      <c r="B864" s="27" t="s">
        <v>2666</v>
      </c>
      <c r="C864" s="26" t="s">
        <v>1054</v>
      </c>
      <c r="D864" s="26">
        <v>-2</v>
      </c>
      <c r="E864" s="26">
        <v>0</v>
      </c>
      <c r="F864" s="26">
        <v>97</v>
      </c>
      <c r="G864" s="26">
        <v>95.53</v>
      </c>
      <c r="I864" s="26" t="str">
        <f t="shared" si="27"/>
        <v>Y</v>
      </c>
    </row>
    <row r="865" spans="1:9" x14ac:dyDescent="0.15">
      <c r="A865" s="26">
        <f t="shared" si="26"/>
        <v>3694</v>
      </c>
      <c r="B865" s="27" t="s">
        <v>2667</v>
      </c>
      <c r="C865" s="26" t="s">
        <v>1055</v>
      </c>
      <c r="D865" s="26">
        <v>4</v>
      </c>
      <c r="E865" s="26">
        <v>0</v>
      </c>
      <c r="F865" s="26">
        <v>16.899999999999999</v>
      </c>
      <c r="G865" s="26">
        <v>16.43</v>
      </c>
      <c r="I865" s="26" t="str">
        <f t="shared" si="27"/>
        <v>Y</v>
      </c>
    </row>
    <row r="866" spans="1:9" x14ac:dyDescent="0.15">
      <c r="A866" s="26">
        <f t="shared" si="26"/>
        <v>3698</v>
      </c>
      <c r="B866" s="27" t="s">
        <v>2668</v>
      </c>
      <c r="C866" s="26" t="s">
        <v>1056</v>
      </c>
      <c r="D866" s="26">
        <v>481</v>
      </c>
      <c r="E866" s="26">
        <v>0</v>
      </c>
      <c r="F866" s="26">
        <v>17.45</v>
      </c>
      <c r="G866" s="26">
        <v>16.89</v>
      </c>
      <c r="I866" s="26" t="str">
        <f t="shared" si="27"/>
        <v>Y</v>
      </c>
    </row>
    <row r="867" spans="1:9" x14ac:dyDescent="0.15">
      <c r="A867" s="26">
        <f t="shared" si="26"/>
        <v>3701</v>
      </c>
      <c r="B867" s="27" t="s">
        <v>2669</v>
      </c>
      <c r="C867" s="26" t="s">
        <v>1057</v>
      </c>
      <c r="D867" s="26">
        <v>0</v>
      </c>
      <c r="E867" s="26">
        <v>0</v>
      </c>
      <c r="F867" s="26">
        <v>8</v>
      </c>
      <c r="G867" s="26">
        <v>8.5299999999999994</v>
      </c>
      <c r="I867" s="26" t="str">
        <f t="shared" si="27"/>
        <v>-</v>
      </c>
    </row>
    <row r="868" spans="1:9" x14ac:dyDescent="0.15">
      <c r="A868" s="26">
        <f t="shared" si="26"/>
        <v>3702</v>
      </c>
      <c r="B868" s="27" t="s">
        <v>2670</v>
      </c>
      <c r="C868" s="26" t="s">
        <v>1058</v>
      </c>
      <c r="D868" s="26">
        <v>1573</v>
      </c>
      <c r="E868" s="26">
        <v>0</v>
      </c>
      <c r="F868" s="26">
        <v>34.299999999999997</v>
      </c>
      <c r="G868" s="26">
        <v>33.64</v>
      </c>
      <c r="I868" s="26" t="str">
        <f t="shared" si="27"/>
        <v>Y</v>
      </c>
    </row>
    <row r="869" spans="1:9" x14ac:dyDescent="0.15">
      <c r="A869" s="26">
        <f t="shared" si="26"/>
        <v>3703</v>
      </c>
      <c r="B869" s="27" t="s">
        <v>2671</v>
      </c>
      <c r="C869" s="26" t="s">
        <v>1059</v>
      </c>
      <c r="D869" s="26">
        <v>28</v>
      </c>
      <c r="E869" s="26">
        <v>0</v>
      </c>
      <c r="F869" s="26">
        <v>11.6</v>
      </c>
      <c r="G869" s="26">
        <v>11.35</v>
      </c>
      <c r="I869" s="26" t="str">
        <f t="shared" si="27"/>
        <v>Y</v>
      </c>
    </row>
    <row r="870" spans="1:9" x14ac:dyDescent="0.15">
      <c r="A870" s="26">
        <f t="shared" si="26"/>
        <v>3704</v>
      </c>
      <c r="B870" s="27" t="s">
        <v>2672</v>
      </c>
      <c r="C870" s="26" t="s">
        <v>1060</v>
      </c>
      <c r="D870" s="26">
        <v>531</v>
      </c>
      <c r="E870" s="26">
        <v>0</v>
      </c>
      <c r="F870" s="26">
        <v>16.05</v>
      </c>
      <c r="G870" s="26">
        <v>15.65</v>
      </c>
      <c r="I870" s="26" t="str">
        <f t="shared" si="27"/>
        <v>Y</v>
      </c>
    </row>
    <row r="871" spans="1:9" x14ac:dyDescent="0.15">
      <c r="A871" s="26">
        <f t="shared" si="26"/>
        <v>3705</v>
      </c>
      <c r="B871" s="27" t="s">
        <v>2673</v>
      </c>
      <c r="C871" s="26" t="s">
        <v>1061</v>
      </c>
      <c r="D871" s="26">
        <v>-6</v>
      </c>
      <c r="E871" s="26">
        <v>0</v>
      </c>
      <c r="F871" s="26">
        <v>49.3</v>
      </c>
      <c r="G871" s="26">
        <v>48.7</v>
      </c>
      <c r="I871" s="26" t="str">
        <f t="shared" si="27"/>
        <v>Y</v>
      </c>
    </row>
    <row r="872" spans="1:9" x14ac:dyDescent="0.15">
      <c r="A872" s="26">
        <f t="shared" si="26"/>
        <v>3706</v>
      </c>
      <c r="B872" s="27" t="s">
        <v>2674</v>
      </c>
      <c r="C872" s="26" t="s">
        <v>1062</v>
      </c>
      <c r="D872" s="26">
        <v>-309</v>
      </c>
      <c r="E872" s="26">
        <v>0</v>
      </c>
      <c r="F872" s="26">
        <v>23.5</v>
      </c>
      <c r="G872" s="26">
        <v>23.41</v>
      </c>
      <c r="I872" s="26" t="str">
        <f t="shared" si="27"/>
        <v>Y</v>
      </c>
    </row>
    <row r="873" spans="1:9" x14ac:dyDescent="0.15">
      <c r="A873" s="26">
        <f t="shared" si="26"/>
        <v>3707</v>
      </c>
      <c r="B873" s="27" t="s">
        <v>2675</v>
      </c>
      <c r="C873" s="26" t="s">
        <v>1063</v>
      </c>
      <c r="D873" s="26">
        <v>0</v>
      </c>
      <c r="E873" s="26">
        <v>0</v>
      </c>
      <c r="F873" s="26">
        <v>10.1</v>
      </c>
      <c r="G873" s="26">
        <v>10.210000000000001</v>
      </c>
      <c r="I873" s="26" t="str">
        <f t="shared" si="27"/>
        <v>-</v>
      </c>
    </row>
    <row r="874" spans="1:9" x14ac:dyDescent="0.15">
      <c r="A874" s="26">
        <f t="shared" si="26"/>
        <v>4102</v>
      </c>
      <c r="B874" s="27" t="s">
        <v>2676</v>
      </c>
      <c r="C874" s="26" t="s">
        <v>1064</v>
      </c>
      <c r="D874" s="26">
        <v>-1</v>
      </c>
      <c r="E874" s="26">
        <v>0</v>
      </c>
      <c r="F874" s="26">
        <v>24.1</v>
      </c>
      <c r="G874" s="26">
        <v>24.23</v>
      </c>
      <c r="I874" s="26" t="str">
        <f t="shared" si="27"/>
        <v>-</v>
      </c>
    </row>
    <row r="875" spans="1:9" x14ac:dyDescent="0.15">
      <c r="A875" s="26">
        <f t="shared" si="26"/>
        <v>4103</v>
      </c>
      <c r="B875" s="27" t="s">
        <v>2677</v>
      </c>
      <c r="C875" s="26" t="s">
        <v>1065</v>
      </c>
      <c r="D875" s="26">
        <v>45</v>
      </c>
      <c r="E875" s="26">
        <v>0</v>
      </c>
      <c r="F875" s="26">
        <v>94.5</v>
      </c>
      <c r="G875" s="26">
        <v>88.38</v>
      </c>
      <c r="I875" s="26" t="str">
        <f t="shared" si="27"/>
        <v>Y</v>
      </c>
    </row>
    <row r="876" spans="1:9" x14ac:dyDescent="0.15">
      <c r="A876" s="26">
        <f t="shared" si="26"/>
        <v>4104</v>
      </c>
      <c r="B876" s="27" t="s">
        <v>2678</v>
      </c>
      <c r="C876" s="26" t="s">
        <v>1066</v>
      </c>
      <c r="D876" s="26">
        <v>-29</v>
      </c>
      <c r="E876" s="26">
        <v>0</v>
      </c>
      <c r="F876" s="26">
        <v>51.2</v>
      </c>
      <c r="G876" s="26">
        <v>51.28</v>
      </c>
      <c r="I876" s="26" t="str">
        <f t="shared" si="27"/>
        <v>-</v>
      </c>
    </row>
    <row r="877" spans="1:9" x14ac:dyDescent="0.15">
      <c r="A877" s="26">
        <f t="shared" si="26"/>
        <v>4105</v>
      </c>
      <c r="B877" s="27" t="s">
        <v>2679</v>
      </c>
      <c r="C877" s="26" t="s">
        <v>1067</v>
      </c>
      <c r="D877" s="26">
        <v>-434</v>
      </c>
      <c r="E877" s="26">
        <v>-684</v>
      </c>
      <c r="F877" s="26">
        <v>104</v>
      </c>
      <c r="G877" s="26">
        <v>111.71</v>
      </c>
      <c r="I877" s="26" t="str">
        <f t="shared" si="27"/>
        <v>-</v>
      </c>
    </row>
    <row r="878" spans="1:9" x14ac:dyDescent="0.15">
      <c r="A878" s="26">
        <f t="shared" si="26"/>
        <v>4106</v>
      </c>
      <c r="B878" s="27" t="s">
        <v>2680</v>
      </c>
      <c r="C878" s="26" t="s">
        <v>1068</v>
      </c>
      <c r="D878" s="26">
        <v>183</v>
      </c>
      <c r="E878" s="26">
        <v>0</v>
      </c>
      <c r="F878" s="26">
        <v>42.85</v>
      </c>
      <c r="G878" s="26">
        <v>41.15</v>
      </c>
      <c r="I878" s="26" t="str">
        <f t="shared" si="27"/>
        <v>Y</v>
      </c>
    </row>
    <row r="879" spans="1:9" x14ac:dyDescent="0.15">
      <c r="A879" s="26">
        <f t="shared" si="26"/>
        <v>4107</v>
      </c>
      <c r="B879" s="27" t="s">
        <v>2681</v>
      </c>
      <c r="C879" s="26" t="s">
        <v>1069</v>
      </c>
      <c r="D879" s="26">
        <v>-20</v>
      </c>
      <c r="E879" s="26">
        <v>120</v>
      </c>
      <c r="F879" s="26">
        <v>141</v>
      </c>
      <c r="G879" s="26">
        <v>143.5</v>
      </c>
      <c r="I879" s="26" t="str">
        <f t="shared" si="27"/>
        <v>-</v>
      </c>
    </row>
    <row r="880" spans="1:9" x14ac:dyDescent="0.15">
      <c r="A880" s="26">
        <f t="shared" si="26"/>
        <v>4108</v>
      </c>
      <c r="B880" s="27" t="s">
        <v>2682</v>
      </c>
      <c r="C880" s="26" t="s">
        <v>1070</v>
      </c>
      <c r="D880" s="26">
        <v>-10</v>
      </c>
      <c r="E880" s="26">
        <v>0</v>
      </c>
      <c r="F880" s="26">
        <v>27.5</v>
      </c>
      <c r="G880" s="26">
        <v>27.57</v>
      </c>
      <c r="I880" s="26" t="str">
        <f t="shared" si="27"/>
        <v>-</v>
      </c>
    </row>
    <row r="881" spans="1:9" x14ac:dyDescent="0.15">
      <c r="A881" s="26">
        <f t="shared" si="26"/>
        <v>4109</v>
      </c>
      <c r="B881" s="27" t="s">
        <v>2683</v>
      </c>
      <c r="C881" s="26" t="s">
        <v>1071</v>
      </c>
      <c r="D881" s="26">
        <v>-46</v>
      </c>
      <c r="E881" s="26">
        <v>0</v>
      </c>
      <c r="F881" s="26">
        <v>24</v>
      </c>
      <c r="G881" s="26">
        <v>24</v>
      </c>
      <c r="I881" s="26" t="str">
        <f t="shared" si="27"/>
        <v>-</v>
      </c>
    </row>
    <row r="882" spans="1:9" x14ac:dyDescent="0.15">
      <c r="A882" s="26">
        <f t="shared" si="26"/>
        <v>4111</v>
      </c>
      <c r="B882" s="27" t="s">
        <v>2684</v>
      </c>
      <c r="C882" s="26" t="s">
        <v>1072</v>
      </c>
      <c r="D882" s="26">
        <v>-10</v>
      </c>
      <c r="E882" s="26">
        <v>0</v>
      </c>
      <c r="F882" s="26">
        <v>26.3</v>
      </c>
      <c r="G882" s="26">
        <v>25.58</v>
      </c>
      <c r="I882" s="26" t="str">
        <f t="shared" si="27"/>
        <v>Y</v>
      </c>
    </row>
    <row r="883" spans="1:9" x14ac:dyDescent="0.15">
      <c r="A883" s="26">
        <f t="shared" si="26"/>
        <v>4113</v>
      </c>
      <c r="B883" s="27" t="s">
        <v>2685</v>
      </c>
      <c r="C883" s="26" t="s">
        <v>1073</v>
      </c>
      <c r="D883" s="26">
        <v>6</v>
      </c>
      <c r="E883" s="26">
        <v>0</v>
      </c>
      <c r="F883" s="26">
        <v>11.5</v>
      </c>
      <c r="G883" s="26">
        <v>10.44</v>
      </c>
      <c r="I883" s="26" t="str">
        <f t="shared" si="27"/>
        <v>Y</v>
      </c>
    </row>
    <row r="884" spans="1:9" x14ac:dyDescent="0.15">
      <c r="A884" s="26">
        <f t="shared" si="26"/>
        <v>4114</v>
      </c>
      <c r="B884" s="27" t="s">
        <v>2686</v>
      </c>
      <c r="C884" s="26" t="s">
        <v>1074</v>
      </c>
      <c r="D884" s="26">
        <v>-21</v>
      </c>
      <c r="E884" s="26">
        <v>0</v>
      </c>
      <c r="F884" s="26">
        <v>33.450000000000003</v>
      </c>
      <c r="G884" s="26">
        <v>33.28</v>
      </c>
      <c r="I884" s="26" t="str">
        <f t="shared" si="27"/>
        <v>Y</v>
      </c>
    </row>
    <row r="885" spans="1:9" x14ac:dyDescent="0.15">
      <c r="A885" s="26">
        <f t="shared" si="26"/>
        <v>4116</v>
      </c>
      <c r="B885" s="27" t="s">
        <v>2687</v>
      </c>
      <c r="C885" s="26" t="s">
        <v>1075</v>
      </c>
      <c r="D885" s="26">
        <v>0</v>
      </c>
      <c r="E885" s="26">
        <v>0</v>
      </c>
      <c r="F885" s="26">
        <v>70.599999999999994</v>
      </c>
      <c r="G885" s="26">
        <v>71.03</v>
      </c>
      <c r="I885" s="26" t="str">
        <f t="shared" si="27"/>
        <v>-</v>
      </c>
    </row>
    <row r="886" spans="1:9" x14ac:dyDescent="0.15">
      <c r="A886" s="26">
        <f t="shared" si="26"/>
        <v>4119</v>
      </c>
      <c r="B886" s="27" t="s">
        <v>2688</v>
      </c>
      <c r="C886" s="26" t="s">
        <v>1076</v>
      </c>
      <c r="D886" s="26">
        <v>-293</v>
      </c>
      <c r="E886" s="26">
        <v>0</v>
      </c>
      <c r="F886" s="26">
        <v>77.900000000000006</v>
      </c>
      <c r="G886" s="26">
        <v>77.569999999999993</v>
      </c>
      <c r="I886" s="26" t="str">
        <f t="shared" si="27"/>
        <v>Y</v>
      </c>
    </row>
    <row r="887" spans="1:9" x14ac:dyDescent="0.15">
      <c r="A887" s="26">
        <f t="shared" si="26"/>
        <v>4120</v>
      </c>
      <c r="B887" s="27" t="s">
        <v>2689</v>
      </c>
      <c r="C887" s="26" t="s">
        <v>1077</v>
      </c>
      <c r="D887" s="26">
        <v>-5</v>
      </c>
      <c r="E887" s="26">
        <v>0</v>
      </c>
      <c r="F887" s="26">
        <v>53.7</v>
      </c>
      <c r="G887" s="26">
        <v>53.77</v>
      </c>
      <c r="I887" s="26" t="str">
        <f t="shared" si="27"/>
        <v>-</v>
      </c>
    </row>
    <row r="888" spans="1:9" x14ac:dyDescent="0.15">
      <c r="A888" s="26">
        <f t="shared" si="26"/>
        <v>4121</v>
      </c>
      <c r="B888" s="27" t="s">
        <v>2690</v>
      </c>
      <c r="C888" s="26" t="s">
        <v>1078</v>
      </c>
      <c r="D888" s="26">
        <v>-29</v>
      </c>
      <c r="E888" s="26">
        <v>0</v>
      </c>
      <c r="F888" s="26">
        <v>16.350000000000001</v>
      </c>
      <c r="G888" s="26">
        <v>16.91</v>
      </c>
      <c r="I888" s="26" t="str">
        <f t="shared" si="27"/>
        <v>-</v>
      </c>
    </row>
    <row r="889" spans="1:9" x14ac:dyDescent="0.15">
      <c r="A889" s="26">
        <f t="shared" si="26"/>
        <v>4123</v>
      </c>
      <c r="B889" s="27" t="s">
        <v>2691</v>
      </c>
      <c r="C889" s="26" t="s">
        <v>1079</v>
      </c>
      <c r="D889" s="26">
        <v>-14</v>
      </c>
      <c r="E889" s="26">
        <v>0</v>
      </c>
      <c r="F889" s="26">
        <v>69</v>
      </c>
      <c r="G889" s="26">
        <v>68.150000000000006</v>
      </c>
      <c r="I889" s="26" t="str">
        <f t="shared" si="27"/>
        <v>Y</v>
      </c>
    </row>
    <row r="890" spans="1:9" x14ac:dyDescent="0.15">
      <c r="A890" s="26">
        <f t="shared" si="26"/>
        <v>4126</v>
      </c>
      <c r="B890" s="27" t="s">
        <v>2692</v>
      </c>
      <c r="C890" s="26" t="s">
        <v>1080</v>
      </c>
      <c r="D890" s="26">
        <v>-191</v>
      </c>
      <c r="E890" s="26">
        <v>60</v>
      </c>
      <c r="F890" s="26">
        <v>86.5</v>
      </c>
      <c r="G890" s="26">
        <v>88.73</v>
      </c>
      <c r="I890" s="26" t="str">
        <f t="shared" si="27"/>
        <v>-</v>
      </c>
    </row>
    <row r="891" spans="1:9" x14ac:dyDescent="0.15">
      <c r="A891" s="26">
        <f t="shared" si="26"/>
        <v>4127</v>
      </c>
      <c r="B891" s="27" t="s">
        <v>2693</v>
      </c>
      <c r="C891" s="26" t="s">
        <v>1081</v>
      </c>
      <c r="D891" s="26">
        <v>4</v>
      </c>
      <c r="E891" s="26">
        <v>0</v>
      </c>
      <c r="F891" s="26">
        <v>22</v>
      </c>
      <c r="G891" s="26">
        <v>21.84</v>
      </c>
      <c r="I891" s="26" t="str">
        <f t="shared" si="27"/>
        <v>Y</v>
      </c>
    </row>
    <row r="892" spans="1:9" x14ac:dyDescent="0.15">
      <c r="A892" s="26">
        <f t="shared" si="26"/>
        <v>4128</v>
      </c>
      <c r="B892" s="27" t="s">
        <v>2694</v>
      </c>
      <c r="C892" s="26" t="s">
        <v>1082</v>
      </c>
      <c r="D892" s="26">
        <v>-4</v>
      </c>
      <c r="E892" s="26">
        <v>0</v>
      </c>
      <c r="F892" s="26">
        <v>25.9</v>
      </c>
      <c r="G892" s="26">
        <v>26.36</v>
      </c>
      <c r="I892" s="26" t="str">
        <f t="shared" si="27"/>
        <v>-</v>
      </c>
    </row>
    <row r="893" spans="1:9" x14ac:dyDescent="0.15">
      <c r="A893" s="26">
        <f t="shared" si="26"/>
        <v>4129</v>
      </c>
      <c r="B893" s="27" t="s">
        <v>2695</v>
      </c>
      <c r="C893" s="26" t="s">
        <v>1083</v>
      </c>
      <c r="D893" s="26">
        <v>21</v>
      </c>
      <c r="E893" s="26">
        <v>0</v>
      </c>
      <c r="F893" s="26">
        <v>72</v>
      </c>
      <c r="G893" s="26">
        <v>72.28</v>
      </c>
      <c r="I893" s="26" t="str">
        <f t="shared" si="27"/>
        <v>-</v>
      </c>
    </row>
    <row r="894" spans="1:9" x14ac:dyDescent="0.15">
      <c r="A894" s="26">
        <f t="shared" si="26"/>
        <v>4130</v>
      </c>
      <c r="B894" s="27" t="s">
        <v>2696</v>
      </c>
      <c r="C894" s="26" t="s">
        <v>1084</v>
      </c>
      <c r="D894" s="26">
        <v>12</v>
      </c>
      <c r="E894" s="26">
        <v>0</v>
      </c>
      <c r="F894" s="26">
        <v>57.8</v>
      </c>
      <c r="G894" s="26">
        <v>59.38</v>
      </c>
      <c r="I894" s="26" t="str">
        <f t="shared" si="27"/>
        <v>-</v>
      </c>
    </row>
    <row r="895" spans="1:9" x14ac:dyDescent="0.15">
      <c r="A895" s="26">
        <f t="shared" si="26"/>
        <v>4131</v>
      </c>
      <c r="B895" s="27" t="s">
        <v>2697</v>
      </c>
      <c r="C895" s="26" t="s">
        <v>1085</v>
      </c>
      <c r="D895" s="26">
        <v>0</v>
      </c>
      <c r="E895" s="26">
        <v>0</v>
      </c>
      <c r="F895" s="26">
        <v>10</v>
      </c>
      <c r="G895" s="26">
        <v>9.7899999999999991</v>
      </c>
      <c r="I895" s="26" t="str">
        <f t="shared" si="27"/>
        <v>Y</v>
      </c>
    </row>
    <row r="896" spans="1:9" x14ac:dyDescent="0.15">
      <c r="A896" s="26">
        <f t="shared" si="26"/>
        <v>4133</v>
      </c>
      <c r="B896" s="27" t="s">
        <v>2698</v>
      </c>
      <c r="C896" s="26" t="s">
        <v>1086</v>
      </c>
      <c r="D896" s="26">
        <v>-5</v>
      </c>
      <c r="E896" s="26">
        <v>0</v>
      </c>
      <c r="F896" s="26">
        <v>30.75</v>
      </c>
      <c r="G896" s="26">
        <v>30.61</v>
      </c>
      <c r="I896" s="26" t="str">
        <f t="shared" si="27"/>
        <v>Y</v>
      </c>
    </row>
    <row r="897" spans="1:9" x14ac:dyDescent="0.15">
      <c r="A897" s="26">
        <f t="shared" si="26"/>
        <v>4137</v>
      </c>
      <c r="B897" s="27" t="s">
        <v>2699</v>
      </c>
      <c r="C897" s="26" t="s">
        <v>1087</v>
      </c>
      <c r="D897" s="26">
        <v>-354</v>
      </c>
      <c r="E897" s="26">
        <v>0</v>
      </c>
      <c r="F897" s="26">
        <v>303</v>
      </c>
      <c r="G897" s="26">
        <v>300.92</v>
      </c>
      <c r="I897" s="26" t="str">
        <f t="shared" si="27"/>
        <v>Y</v>
      </c>
    </row>
    <row r="898" spans="1:9" x14ac:dyDescent="0.15">
      <c r="A898" s="26">
        <f t="shared" si="26"/>
        <v>4138</v>
      </c>
      <c r="B898" s="27" t="s">
        <v>2700</v>
      </c>
      <c r="C898" s="26" t="s">
        <v>1088</v>
      </c>
      <c r="D898" s="26">
        <v>2</v>
      </c>
      <c r="E898" s="26">
        <v>0</v>
      </c>
      <c r="F898" s="26">
        <v>62.7</v>
      </c>
      <c r="G898" s="26">
        <v>62.84</v>
      </c>
      <c r="I898" s="26" t="str">
        <f t="shared" si="27"/>
        <v>-</v>
      </c>
    </row>
    <row r="899" spans="1:9" x14ac:dyDescent="0.15">
      <c r="A899" s="26">
        <f t="shared" si="26"/>
        <v>4139</v>
      </c>
      <c r="B899" s="27" t="s">
        <v>2701</v>
      </c>
      <c r="C899" s="26" t="s">
        <v>1089</v>
      </c>
      <c r="D899" s="26">
        <v>0</v>
      </c>
      <c r="E899" s="26">
        <v>0</v>
      </c>
      <c r="F899" s="26">
        <v>61.5</v>
      </c>
      <c r="G899" s="26">
        <v>62.83</v>
      </c>
      <c r="I899" s="26" t="str">
        <f t="shared" si="27"/>
        <v>-</v>
      </c>
    </row>
    <row r="900" spans="1:9" x14ac:dyDescent="0.15">
      <c r="A900" s="26">
        <f t="shared" si="26"/>
        <v>4141</v>
      </c>
      <c r="B900" s="27" t="s">
        <v>2702</v>
      </c>
      <c r="C900" s="26" t="s">
        <v>1090</v>
      </c>
      <c r="D900" s="26">
        <v>16</v>
      </c>
      <c r="E900" s="26">
        <v>0</v>
      </c>
      <c r="F900" s="26">
        <v>35.299999999999997</v>
      </c>
      <c r="G900" s="26">
        <v>29.98</v>
      </c>
      <c r="I900" s="26" t="str">
        <f t="shared" si="27"/>
        <v>Y</v>
      </c>
    </row>
    <row r="901" spans="1:9" x14ac:dyDescent="0.15">
      <c r="A901" s="26">
        <f t="shared" si="26"/>
        <v>4142</v>
      </c>
      <c r="B901" s="27" t="s">
        <v>2703</v>
      </c>
      <c r="C901" s="26" t="s">
        <v>1091</v>
      </c>
      <c r="D901" s="26">
        <v>2</v>
      </c>
      <c r="E901" s="26">
        <v>0</v>
      </c>
      <c r="F901" s="26">
        <v>24.85</v>
      </c>
      <c r="G901" s="26">
        <v>24.48</v>
      </c>
      <c r="I901" s="26" t="str">
        <f t="shared" si="27"/>
        <v>Y</v>
      </c>
    </row>
    <row r="902" spans="1:9" x14ac:dyDescent="0.15">
      <c r="A902" s="26">
        <f t="shared" si="26"/>
        <v>4144</v>
      </c>
      <c r="B902" s="27" t="s">
        <v>2704</v>
      </c>
      <c r="C902" s="26" t="s">
        <v>1092</v>
      </c>
      <c r="D902" s="26">
        <v>15</v>
      </c>
      <c r="E902" s="26">
        <v>0</v>
      </c>
      <c r="F902" s="26">
        <v>52.1</v>
      </c>
      <c r="G902" s="26">
        <v>52.63</v>
      </c>
      <c r="I902" s="26" t="str">
        <f t="shared" si="27"/>
        <v>-</v>
      </c>
    </row>
    <row r="903" spans="1:9" x14ac:dyDescent="0.15">
      <c r="A903" s="26">
        <f t="shared" ref="A903:A966" si="28">VALUE(B903)</f>
        <v>4147</v>
      </c>
      <c r="B903" s="27" t="s">
        <v>2705</v>
      </c>
      <c r="C903" s="26" t="s">
        <v>1093</v>
      </c>
      <c r="D903" s="26">
        <v>-195</v>
      </c>
      <c r="E903" s="26">
        <v>0</v>
      </c>
      <c r="F903" s="26">
        <v>201</v>
      </c>
      <c r="G903" s="26">
        <v>206.88</v>
      </c>
      <c r="I903" s="26" t="str">
        <f t="shared" ref="I903:I966" si="29">IF(F903&gt;G903,"Y","-")</f>
        <v>-</v>
      </c>
    </row>
    <row r="904" spans="1:9" x14ac:dyDescent="0.15">
      <c r="A904" s="26">
        <f t="shared" si="28"/>
        <v>4152</v>
      </c>
      <c r="B904" s="27" t="s">
        <v>2706</v>
      </c>
      <c r="C904" s="26" t="s">
        <v>1094</v>
      </c>
      <c r="D904" s="26">
        <v>2</v>
      </c>
      <c r="E904" s="26">
        <v>0</v>
      </c>
      <c r="F904" s="26">
        <v>160</v>
      </c>
      <c r="G904" s="26">
        <v>156.88</v>
      </c>
      <c r="I904" s="26" t="str">
        <f t="shared" si="29"/>
        <v>Y</v>
      </c>
    </row>
    <row r="905" spans="1:9" x14ac:dyDescent="0.15">
      <c r="A905" s="26">
        <f t="shared" si="28"/>
        <v>4153</v>
      </c>
      <c r="B905" s="27" t="s">
        <v>2707</v>
      </c>
      <c r="C905" s="26" t="s">
        <v>1095</v>
      </c>
      <c r="D905" s="26">
        <v>1</v>
      </c>
      <c r="E905" s="26">
        <v>0</v>
      </c>
      <c r="F905" s="26">
        <v>70.5</v>
      </c>
      <c r="G905" s="26">
        <v>69.900000000000006</v>
      </c>
      <c r="I905" s="26" t="str">
        <f t="shared" si="29"/>
        <v>Y</v>
      </c>
    </row>
    <row r="906" spans="1:9" x14ac:dyDescent="0.15">
      <c r="A906" s="26">
        <f t="shared" si="28"/>
        <v>4154</v>
      </c>
      <c r="B906" s="27" t="s">
        <v>2708</v>
      </c>
      <c r="C906" s="26" t="s">
        <v>1096</v>
      </c>
      <c r="D906" s="26">
        <v>0</v>
      </c>
      <c r="E906" s="26">
        <v>0</v>
      </c>
      <c r="F906" s="26">
        <v>20.350000000000001</v>
      </c>
      <c r="G906" s="26">
        <v>20.149999999999999</v>
      </c>
      <c r="I906" s="26" t="str">
        <f t="shared" si="29"/>
        <v>Y</v>
      </c>
    </row>
    <row r="907" spans="1:9" x14ac:dyDescent="0.15">
      <c r="A907" s="26">
        <f t="shared" si="28"/>
        <v>4157</v>
      </c>
      <c r="B907" s="27" t="s">
        <v>2709</v>
      </c>
      <c r="C907" s="26" t="s">
        <v>1097</v>
      </c>
      <c r="D907" s="26">
        <v>4</v>
      </c>
      <c r="E907" s="26">
        <v>0</v>
      </c>
      <c r="F907" s="26">
        <v>27.15</v>
      </c>
      <c r="G907" s="26">
        <v>27.81</v>
      </c>
      <c r="I907" s="26" t="str">
        <f t="shared" si="29"/>
        <v>-</v>
      </c>
    </row>
    <row r="908" spans="1:9" x14ac:dyDescent="0.15">
      <c r="A908" s="26">
        <f t="shared" si="28"/>
        <v>4160</v>
      </c>
      <c r="B908" s="27" t="s">
        <v>2710</v>
      </c>
      <c r="C908" s="26" t="s">
        <v>1098</v>
      </c>
      <c r="D908" s="26">
        <v>-3</v>
      </c>
      <c r="E908" s="26">
        <v>0</v>
      </c>
      <c r="F908" s="26">
        <v>28.5</v>
      </c>
      <c r="G908" s="26">
        <v>28.32</v>
      </c>
      <c r="I908" s="26" t="str">
        <f t="shared" si="29"/>
        <v>Y</v>
      </c>
    </row>
    <row r="909" spans="1:9" x14ac:dyDescent="0.15">
      <c r="A909" s="26">
        <f t="shared" si="28"/>
        <v>4161</v>
      </c>
      <c r="B909" s="27" t="s">
        <v>2711</v>
      </c>
      <c r="C909" s="26" t="s">
        <v>1099</v>
      </c>
      <c r="D909" s="26">
        <v>0</v>
      </c>
      <c r="E909" s="26">
        <v>0</v>
      </c>
      <c r="F909" s="26">
        <v>59.7</v>
      </c>
      <c r="G909" s="26">
        <v>59.83</v>
      </c>
      <c r="I909" s="26" t="str">
        <f t="shared" si="29"/>
        <v>-</v>
      </c>
    </row>
    <row r="910" spans="1:9" x14ac:dyDescent="0.15">
      <c r="A910" s="26">
        <f t="shared" si="28"/>
        <v>4162</v>
      </c>
      <c r="B910" s="27" t="s">
        <v>2712</v>
      </c>
      <c r="C910" s="26" t="s">
        <v>1100</v>
      </c>
      <c r="D910" s="26">
        <v>-201</v>
      </c>
      <c r="E910" s="26">
        <v>218</v>
      </c>
      <c r="F910" s="26">
        <v>239</v>
      </c>
      <c r="G910" s="26">
        <v>219.58</v>
      </c>
      <c r="I910" s="26" t="str">
        <f t="shared" si="29"/>
        <v>Y</v>
      </c>
    </row>
    <row r="911" spans="1:9" x14ac:dyDescent="0.15">
      <c r="A911" s="26">
        <f t="shared" si="28"/>
        <v>4163</v>
      </c>
      <c r="B911" s="27" t="s">
        <v>2713</v>
      </c>
      <c r="C911" s="26" t="s">
        <v>1101</v>
      </c>
      <c r="D911" s="26">
        <v>-11</v>
      </c>
      <c r="E911" s="26">
        <v>0</v>
      </c>
      <c r="F911" s="26">
        <v>127.5</v>
      </c>
      <c r="G911" s="26">
        <v>128.83000000000001</v>
      </c>
      <c r="I911" s="26" t="str">
        <f t="shared" si="29"/>
        <v>-</v>
      </c>
    </row>
    <row r="912" spans="1:9" x14ac:dyDescent="0.15">
      <c r="A912" s="26">
        <f t="shared" si="28"/>
        <v>4164</v>
      </c>
      <c r="B912" s="27" t="s">
        <v>2714</v>
      </c>
      <c r="C912" s="26" t="s">
        <v>1102</v>
      </c>
      <c r="D912" s="26">
        <v>1</v>
      </c>
      <c r="E912" s="26">
        <v>0</v>
      </c>
      <c r="F912" s="26">
        <v>57.6</v>
      </c>
      <c r="G912" s="26">
        <v>57.81</v>
      </c>
      <c r="I912" s="26" t="str">
        <f t="shared" si="29"/>
        <v>-</v>
      </c>
    </row>
    <row r="913" spans="1:9" x14ac:dyDescent="0.15">
      <c r="A913" s="26">
        <f t="shared" si="28"/>
        <v>4167</v>
      </c>
      <c r="B913" s="27" t="s">
        <v>2715</v>
      </c>
      <c r="C913" s="26" t="s">
        <v>1103</v>
      </c>
      <c r="D913" s="26">
        <v>-50</v>
      </c>
      <c r="E913" s="26">
        <v>0</v>
      </c>
      <c r="F913" s="26">
        <v>23.05</v>
      </c>
      <c r="G913" s="26">
        <v>23.18</v>
      </c>
      <c r="I913" s="26" t="str">
        <f t="shared" si="29"/>
        <v>-</v>
      </c>
    </row>
    <row r="914" spans="1:9" x14ac:dyDescent="0.15">
      <c r="A914" s="26">
        <f t="shared" si="28"/>
        <v>4168</v>
      </c>
      <c r="B914" s="27" t="s">
        <v>2716</v>
      </c>
      <c r="C914" s="26" t="s">
        <v>1104</v>
      </c>
      <c r="D914" s="26">
        <v>6</v>
      </c>
      <c r="E914" s="26">
        <v>0</v>
      </c>
      <c r="F914" s="26">
        <v>46.4</v>
      </c>
      <c r="G914" s="26">
        <v>47.42</v>
      </c>
      <c r="I914" s="26" t="str">
        <f t="shared" si="29"/>
        <v>-</v>
      </c>
    </row>
    <row r="915" spans="1:9" x14ac:dyDescent="0.15">
      <c r="A915" s="26">
        <f t="shared" si="28"/>
        <v>4171</v>
      </c>
      <c r="B915" s="27" t="s">
        <v>2717</v>
      </c>
      <c r="C915" s="26" t="s">
        <v>1105</v>
      </c>
      <c r="D915" s="26">
        <v>-18</v>
      </c>
      <c r="E915" s="26">
        <v>0</v>
      </c>
      <c r="F915" s="26">
        <v>37.25</v>
      </c>
      <c r="G915" s="26">
        <v>33.51</v>
      </c>
      <c r="I915" s="26" t="str">
        <f t="shared" si="29"/>
        <v>Y</v>
      </c>
    </row>
    <row r="916" spans="1:9" x14ac:dyDescent="0.15">
      <c r="A916" s="26">
        <f t="shared" si="28"/>
        <v>4173</v>
      </c>
      <c r="B916" s="27" t="s">
        <v>2718</v>
      </c>
      <c r="C916" s="26" t="s">
        <v>1106</v>
      </c>
      <c r="D916" s="26">
        <v>-19</v>
      </c>
      <c r="E916" s="26">
        <v>0</v>
      </c>
      <c r="F916" s="26">
        <v>26</v>
      </c>
      <c r="G916" s="26">
        <v>24.68</v>
      </c>
      <c r="I916" s="26" t="str">
        <f t="shared" si="29"/>
        <v>Y</v>
      </c>
    </row>
    <row r="917" spans="1:9" x14ac:dyDescent="0.15">
      <c r="A917" s="26">
        <f t="shared" si="28"/>
        <v>4174</v>
      </c>
      <c r="B917" s="27" t="s">
        <v>2719</v>
      </c>
      <c r="C917" s="26" t="s">
        <v>1107</v>
      </c>
      <c r="D917" s="26">
        <v>28</v>
      </c>
      <c r="E917" s="26">
        <v>0</v>
      </c>
      <c r="F917" s="26">
        <v>441</v>
      </c>
      <c r="G917" s="26">
        <v>513.54</v>
      </c>
      <c r="I917" s="26" t="str">
        <f t="shared" si="29"/>
        <v>-</v>
      </c>
    </row>
    <row r="918" spans="1:9" x14ac:dyDescent="0.15">
      <c r="A918" s="26">
        <f t="shared" si="28"/>
        <v>4175</v>
      </c>
      <c r="B918" s="27" t="s">
        <v>2720</v>
      </c>
      <c r="C918" s="26" t="s">
        <v>1108</v>
      </c>
      <c r="D918" s="26">
        <v>-11</v>
      </c>
      <c r="E918" s="26">
        <v>0</v>
      </c>
      <c r="F918" s="26">
        <v>85.3</v>
      </c>
      <c r="G918" s="26">
        <v>82.15</v>
      </c>
      <c r="I918" s="26" t="str">
        <f t="shared" si="29"/>
        <v>Y</v>
      </c>
    </row>
    <row r="919" spans="1:9" x14ac:dyDescent="0.15">
      <c r="A919" s="26">
        <f t="shared" si="28"/>
        <v>4180</v>
      </c>
      <c r="B919" s="27" t="s">
        <v>2721</v>
      </c>
      <c r="C919" s="26" t="s">
        <v>1109</v>
      </c>
      <c r="D919" s="26">
        <v>-102</v>
      </c>
      <c r="E919" s="26">
        <v>0</v>
      </c>
      <c r="F919" s="26">
        <v>149.5</v>
      </c>
      <c r="G919" s="26">
        <v>153.41999999999999</v>
      </c>
      <c r="I919" s="26" t="str">
        <f t="shared" si="29"/>
        <v>-</v>
      </c>
    </row>
    <row r="920" spans="1:9" x14ac:dyDescent="0.15">
      <c r="A920" s="26">
        <f t="shared" si="28"/>
        <v>4188</v>
      </c>
      <c r="B920" s="27" t="s">
        <v>2722</v>
      </c>
      <c r="C920" s="26" t="s">
        <v>3425</v>
      </c>
      <c r="D920" s="26">
        <v>3</v>
      </c>
      <c r="E920" s="26">
        <v>0</v>
      </c>
      <c r="F920" s="26">
        <v>27.8</v>
      </c>
      <c r="G920" s="26">
        <v>27.57</v>
      </c>
      <c r="I920" s="26" t="str">
        <f t="shared" si="29"/>
        <v>Y</v>
      </c>
    </row>
    <row r="921" spans="1:9" x14ac:dyDescent="0.15">
      <c r="A921" s="26">
        <f t="shared" si="28"/>
        <v>4190</v>
      </c>
      <c r="B921" s="27" t="s">
        <v>2723</v>
      </c>
      <c r="C921" s="26" t="s">
        <v>1110</v>
      </c>
      <c r="D921" s="26">
        <v>4</v>
      </c>
      <c r="E921" s="26">
        <v>0</v>
      </c>
      <c r="F921" s="26">
        <v>124</v>
      </c>
      <c r="G921" s="26">
        <v>123.08</v>
      </c>
      <c r="I921" s="26" t="str">
        <f t="shared" si="29"/>
        <v>Y</v>
      </c>
    </row>
    <row r="922" spans="1:9" x14ac:dyDescent="0.15">
      <c r="A922" s="26">
        <f t="shared" si="28"/>
        <v>4192</v>
      </c>
      <c r="B922" s="27" t="s">
        <v>2724</v>
      </c>
      <c r="C922" s="26" t="s">
        <v>1111</v>
      </c>
      <c r="D922" s="26">
        <v>3</v>
      </c>
      <c r="E922" s="26">
        <v>0</v>
      </c>
      <c r="F922" s="26">
        <v>40.049999999999997</v>
      </c>
      <c r="G922" s="26">
        <v>40.93</v>
      </c>
      <c r="I922" s="26" t="str">
        <f t="shared" si="29"/>
        <v>-</v>
      </c>
    </row>
    <row r="923" spans="1:9" x14ac:dyDescent="0.15">
      <c r="A923" s="26">
        <f t="shared" si="28"/>
        <v>4198</v>
      </c>
      <c r="B923" s="27" t="s">
        <v>2725</v>
      </c>
      <c r="C923" s="26" t="s">
        <v>1112</v>
      </c>
      <c r="D923" s="26">
        <v>-3</v>
      </c>
      <c r="E923" s="26">
        <v>0</v>
      </c>
      <c r="F923" s="26">
        <v>30.85</v>
      </c>
      <c r="G923" s="26">
        <v>30.78</v>
      </c>
      <c r="I923" s="26" t="str">
        <f t="shared" si="29"/>
        <v>Y</v>
      </c>
    </row>
    <row r="924" spans="1:9" x14ac:dyDescent="0.15">
      <c r="A924" s="26">
        <f t="shared" si="28"/>
        <v>4205</v>
      </c>
      <c r="B924" s="27" t="s">
        <v>2726</v>
      </c>
      <c r="C924" s="26" t="s">
        <v>1113</v>
      </c>
      <c r="D924" s="26">
        <v>-1</v>
      </c>
      <c r="E924" s="26">
        <v>0</v>
      </c>
      <c r="F924" s="26">
        <v>39.65</v>
      </c>
      <c r="G924" s="26">
        <v>39.85</v>
      </c>
      <c r="I924" s="26" t="str">
        <f t="shared" si="29"/>
        <v>-</v>
      </c>
    </row>
    <row r="925" spans="1:9" x14ac:dyDescent="0.15">
      <c r="A925" s="26">
        <f t="shared" si="28"/>
        <v>4207</v>
      </c>
      <c r="B925" s="27" t="s">
        <v>2727</v>
      </c>
      <c r="C925" s="26" t="s">
        <v>1114</v>
      </c>
      <c r="D925" s="26">
        <v>0</v>
      </c>
      <c r="E925" s="26">
        <v>0</v>
      </c>
      <c r="F925" s="26">
        <v>9.8699999999999992</v>
      </c>
      <c r="G925" s="26">
        <v>9.5299999999999994</v>
      </c>
      <c r="I925" s="26" t="str">
        <f t="shared" si="29"/>
        <v>Y</v>
      </c>
    </row>
    <row r="926" spans="1:9" x14ac:dyDescent="0.15">
      <c r="A926" s="26">
        <f t="shared" si="28"/>
        <v>4303</v>
      </c>
      <c r="B926" s="27" t="s">
        <v>2728</v>
      </c>
      <c r="C926" s="26" t="s">
        <v>1115</v>
      </c>
      <c r="D926" s="26">
        <v>0</v>
      </c>
      <c r="E926" s="26">
        <v>0</v>
      </c>
      <c r="F926" s="26">
        <v>13.1</v>
      </c>
      <c r="G926" s="26">
        <v>13.08</v>
      </c>
      <c r="I926" s="26" t="str">
        <f t="shared" si="29"/>
        <v>Y</v>
      </c>
    </row>
    <row r="927" spans="1:9" x14ac:dyDescent="0.15">
      <c r="A927" s="26">
        <f t="shared" si="28"/>
        <v>4304</v>
      </c>
      <c r="B927" s="27" t="s">
        <v>2729</v>
      </c>
      <c r="C927" s="26" t="s">
        <v>1116</v>
      </c>
      <c r="D927" s="26">
        <v>0</v>
      </c>
      <c r="E927" s="26">
        <v>0</v>
      </c>
      <c r="F927" s="26">
        <v>10.9</v>
      </c>
      <c r="G927" s="26">
        <v>11.32</v>
      </c>
      <c r="I927" s="26" t="str">
        <f t="shared" si="29"/>
        <v>-</v>
      </c>
    </row>
    <row r="928" spans="1:9" x14ac:dyDescent="0.15">
      <c r="A928" s="26">
        <f t="shared" si="28"/>
        <v>4305</v>
      </c>
      <c r="B928" s="27" t="s">
        <v>2730</v>
      </c>
      <c r="C928" s="26" t="s">
        <v>1117</v>
      </c>
      <c r="D928" s="26">
        <v>-3</v>
      </c>
      <c r="E928" s="26">
        <v>0</v>
      </c>
      <c r="F928" s="26">
        <v>26.5</v>
      </c>
      <c r="G928" s="26">
        <v>26.57</v>
      </c>
      <c r="I928" s="26" t="str">
        <f t="shared" si="29"/>
        <v>-</v>
      </c>
    </row>
    <row r="929" spans="1:9" x14ac:dyDescent="0.15">
      <c r="A929" s="26">
        <f t="shared" si="28"/>
        <v>4306</v>
      </c>
      <c r="B929" s="27" t="s">
        <v>2731</v>
      </c>
      <c r="C929" s="26" t="s">
        <v>1118</v>
      </c>
      <c r="D929" s="26">
        <v>28</v>
      </c>
      <c r="E929" s="26">
        <v>0</v>
      </c>
      <c r="F929" s="26">
        <v>12.85</v>
      </c>
      <c r="G929" s="26">
        <v>12.3</v>
      </c>
      <c r="I929" s="26" t="str">
        <f t="shared" si="29"/>
        <v>Y</v>
      </c>
    </row>
    <row r="930" spans="1:9" x14ac:dyDescent="0.15">
      <c r="A930" s="26">
        <f t="shared" si="28"/>
        <v>4401</v>
      </c>
      <c r="B930" s="27" t="s">
        <v>2732</v>
      </c>
      <c r="C930" s="26" t="s">
        <v>1119</v>
      </c>
      <c r="D930" s="26">
        <v>20</v>
      </c>
      <c r="E930" s="26">
        <v>27</v>
      </c>
      <c r="F930" s="26">
        <v>91.1</v>
      </c>
      <c r="G930" s="26">
        <v>89.69</v>
      </c>
      <c r="I930" s="26" t="str">
        <f t="shared" si="29"/>
        <v>Y</v>
      </c>
    </row>
    <row r="931" spans="1:9" x14ac:dyDescent="0.15">
      <c r="A931" s="26">
        <f t="shared" si="28"/>
        <v>4402</v>
      </c>
      <c r="B931" s="27" t="s">
        <v>2733</v>
      </c>
      <c r="C931" s="26" t="s">
        <v>1120</v>
      </c>
      <c r="D931" s="26">
        <v>0</v>
      </c>
      <c r="E931" s="26">
        <v>0</v>
      </c>
      <c r="F931" s="26">
        <v>4.42</v>
      </c>
      <c r="G931" s="26">
        <v>4.46</v>
      </c>
      <c r="I931" s="26" t="str">
        <f t="shared" si="29"/>
        <v>-</v>
      </c>
    </row>
    <row r="932" spans="1:9" x14ac:dyDescent="0.15">
      <c r="A932" s="26">
        <f t="shared" si="28"/>
        <v>4406</v>
      </c>
      <c r="B932" s="27" t="s">
        <v>2734</v>
      </c>
      <c r="C932" s="26" t="s">
        <v>1121</v>
      </c>
      <c r="D932" s="26">
        <v>0</v>
      </c>
      <c r="E932" s="26">
        <v>0</v>
      </c>
      <c r="F932" s="26">
        <v>11.9</v>
      </c>
      <c r="G932" s="26">
        <v>12.13</v>
      </c>
      <c r="I932" s="26" t="str">
        <f t="shared" si="29"/>
        <v>-</v>
      </c>
    </row>
    <row r="933" spans="1:9" x14ac:dyDescent="0.15">
      <c r="A933" s="26">
        <f t="shared" si="28"/>
        <v>4413</v>
      </c>
      <c r="B933" s="27" t="s">
        <v>2735</v>
      </c>
      <c r="C933" s="26" t="s">
        <v>1122</v>
      </c>
      <c r="D933" s="26">
        <v>0</v>
      </c>
      <c r="E933" s="26">
        <v>0</v>
      </c>
      <c r="F933" s="26">
        <v>16.5</v>
      </c>
      <c r="G933" s="26">
        <v>16.5</v>
      </c>
      <c r="I933" s="26" t="str">
        <f t="shared" si="29"/>
        <v>-</v>
      </c>
    </row>
    <row r="934" spans="1:9" x14ac:dyDescent="0.15">
      <c r="A934" s="26">
        <f t="shared" si="28"/>
        <v>4414</v>
      </c>
      <c r="B934" s="27" t="s">
        <v>2736</v>
      </c>
      <c r="C934" s="26" t="s">
        <v>1123</v>
      </c>
      <c r="D934" s="26">
        <v>-127</v>
      </c>
      <c r="E934" s="26">
        <v>0</v>
      </c>
      <c r="F934" s="26">
        <v>25.4</v>
      </c>
      <c r="G934" s="26">
        <v>22.53</v>
      </c>
      <c r="I934" s="26" t="str">
        <f t="shared" si="29"/>
        <v>Y</v>
      </c>
    </row>
    <row r="935" spans="1:9" x14ac:dyDescent="0.15">
      <c r="A935" s="26">
        <f t="shared" si="28"/>
        <v>4415</v>
      </c>
      <c r="B935" s="27" t="s">
        <v>2737</v>
      </c>
      <c r="C935" s="26" t="s">
        <v>1124</v>
      </c>
      <c r="D935" s="26">
        <v>0</v>
      </c>
      <c r="E935" s="26">
        <v>0</v>
      </c>
      <c r="F935" s="26">
        <v>8.3800000000000008</v>
      </c>
      <c r="G935" s="26">
        <v>10.35</v>
      </c>
      <c r="I935" s="26" t="str">
        <f t="shared" si="29"/>
        <v>-</v>
      </c>
    </row>
    <row r="936" spans="1:9" x14ac:dyDescent="0.15">
      <c r="A936" s="26">
        <f t="shared" si="28"/>
        <v>4416</v>
      </c>
      <c r="B936" s="27" t="s">
        <v>2738</v>
      </c>
      <c r="C936" s="26" t="s">
        <v>1125</v>
      </c>
      <c r="D936" s="26">
        <v>0</v>
      </c>
      <c r="E936" s="26">
        <v>0</v>
      </c>
      <c r="F936" s="26">
        <v>80.5</v>
      </c>
      <c r="G936" s="26">
        <v>80.510000000000005</v>
      </c>
      <c r="I936" s="26" t="str">
        <f t="shared" si="29"/>
        <v>-</v>
      </c>
    </row>
    <row r="937" spans="1:9" x14ac:dyDescent="0.15">
      <c r="A937" s="26">
        <f t="shared" si="28"/>
        <v>4417</v>
      </c>
      <c r="B937" s="27" t="s">
        <v>2739</v>
      </c>
      <c r="C937" s="26" t="s">
        <v>1126</v>
      </c>
      <c r="D937" s="26">
        <v>-30</v>
      </c>
      <c r="E937" s="26">
        <v>0</v>
      </c>
      <c r="F937" s="26">
        <v>34.049999999999997</v>
      </c>
      <c r="G937" s="26">
        <v>32.909999999999997</v>
      </c>
      <c r="I937" s="26" t="str">
        <f t="shared" si="29"/>
        <v>Y</v>
      </c>
    </row>
    <row r="938" spans="1:9" x14ac:dyDescent="0.15">
      <c r="A938" s="26">
        <f t="shared" si="28"/>
        <v>4419</v>
      </c>
      <c r="B938" s="27" t="s">
        <v>2740</v>
      </c>
      <c r="C938" s="26" t="s">
        <v>1127</v>
      </c>
      <c r="D938" s="26">
        <v>0</v>
      </c>
      <c r="E938" s="26">
        <v>0</v>
      </c>
      <c r="F938" s="26">
        <v>6.52</v>
      </c>
      <c r="G938" s="26">
        <v>6.45</v>
      </c>
      <c r="I938" s="26" t="str">
        <f t="shared" si="29"/>
        <v>Y</v>
      </c>
    </row>
    <row r="939" spans="1:9" x14ac:dyDescent="0.15">
      <c r="A939" s="26">
        <f t="shared" si="28"/>
        <v>4420</v>
      </c>
      <c r="B939" s="27" t="s">
        <v>2741</v>
      </c>
      <c r="C939" s="26" t="s">
        <v>1128</v>
      </c>
      <c r="D939" s="26">
        <v>-4</v>
      </c>
      <c r="E939" s="26">
        <v>0</v>
      </c>
      <c r="F939" s="26">
        <v>39.450000000000003</v>
      </c>
      <c r="G939" s="26">
        <v>37.35</v>
      </c>
      <c r="I939" s="26" t="str">
        <f t="shared" si="29"/>
        <v>Y</v>
      </c>
    </row>
    <row r="940" spans="1:9" x14ac:dyDescent="0.15">
      <c r="A940" s="26">
        <f t="shared" si="28"/>
        <v>4426</v>
      </c>
      <c r="B940" s="27" t="s">
        <v>2742</v>
      </c>
      <c r="C940" s="26" t="s">
        <v>1129</v>
      </c>
      <c r="D940" s="26">
        <v>6</v>
      </c>
      <c r="E940" s="26">
        <v>0</v>
      </c>
      <c r="F940" s="26">
        <v>195.5</v>
      </c>
      <c r="G940" s="26">
        <v>197.92</v>
      </c>
      <c r="I940" s="26" t="str">
        <f t="shared" si="29"/>
        <v>-</v>
      </c>
    </row>
    <row r="941" spans="1:9" x14ac:dyDescent="0.15">
      <c r="A941" s="26">
        <f t="shared" si="28"/>
        <v>4429</v>
      </c>
      <c r="B941" s="27" t="s">
        <v>2743</v>
      </c>
      <c r="C941" s="26" t="s">
        <v>1130</v>
      </c>
      <c r="D941" s="26">
        <v>1</v>
      </c>
      <c r="E941" s="26">
        <v>0</v>
      </c>
      <c r="F941" s="26">
        <v>23.3</v>
      </c>
      <c r="G941" s="26">
        <v>23.14</v>
      </c>
      <c r="I941" s="26" t="str">
        <f t="shared" si="29"/>
        <v>Y</v>
      </c>
    </row>
    <row r="942" spans="1:9" x14ac:dyDescent="0.15">
      <c r="A942" s="26">
        <f t="shared" si="28"/>
        <v>4430</v>
      </c>
      <c r="B942" s="27" t="s">
        <v>2744</v>
      </c>
      <c r="C942" s="26" t="s">
        <v>1131</v>
      </c>
      <c r="D942" s="26">
        <v>-4</v>
      </c>
      <c r="E942" s="26">
        <v>0</v>
      </c>
      <c r="F942" s="26">
        <v>28.2</v>
      </c>
      <c r="G942" s="26">
        <v>27.72</v>
      </c>
      <c r="I942" s="26" t="str">
        <f t="shared" si="29"/>
        <v>Y</v>
      </c>
    </row>
    <row r="943" spans="1:9" x14ac:dyDescent="0.15">
      <c r="A943" s="26">
        <f t="shared" si="28"/>
        <v>4432</v>
      </c>
      <c r="B943" s="27" t="s">
        <v>2745</v>
      </c>
      <c r="C943" s="26" t="s">
        <v>1132</v>
      </c>
      <c r="D943" s="26">
        <v>-1</v>
      </c>
      <c r="E943" s="26">
        <v>0</v>
      </c>
      <c r="F943" s="26">
        <v>79.5</v>
      </c>
      <c r="G943" s="26">
        <v>79.03</v>
      </c>
      <c r="I943" s="26" t="str">
        <f t="shared" si="29"/>
        <v>Y</v>
      </c>
    </row>
    <row r="944" spans="1:9" x14ac:dyDescent="0.15">
      <c r="A944" s="26">
        <f t="shared" si="28"/>
        <v>4433</v>
      </c>
      <c r="B944" s="27" t="s">
        <v>2746</v>
      </c>
      <c r="C944" s="26" t="s">
        <v>1133</v>
      </c>
      <c r="D944" s="26">
        <v>-4</v>
      </c>
      <c r="E944" s="26">
        <v>0</v>
      </c>
      <c r="F944" s="26">
        <v>34.049999999999997</v>
      </c>
      <c r="G944" s="26">
        <v>33.840000000000003</v>
      </c>
      <c r="I944" s="26" t="str">
        <f t="shared" si="29"/>
        <v>Y</v>
      </c>
    </row>
    <row r="945" spans="1:9" x14ac:dyDescent="0.15">
      <c r="A945" s="26">
        <f t="shared" si="28"/>
        <v>4502</v>
      </c>
      <c r="B945" s="27" t="s">
        <v>2747</v>
      </c>
      <c r="C945" s="26" t="s">
        <v>1134</v>
      </c>
      <c r="D945" s="26">
        <v>0</v>
      </c>
      <c r="E945" s="26">
        <v>0</v>
      </c>
      <c r="F945" s="26">
        <v>27.5</v>
      </c>
      <c r="G945" s="26">
        <v>29</v>
      </c>
      <c r="I945" s="26" t="str">
        <f t="shared" si="29"/>
        <v>-</v>
      </c>
    </row>
    <row r="946" spans="1:9" x14ac:dyDescent="0.15">
      <c r="A946" s="26">
        <f t="shared" si="28"/>
        <v>4503</v>
      </c>
      <c r="B946" s="27" t="s">
        <v>2748</v>
      </c>
      <c r="C946" s="26" t="s">
        <v>1135</v>
      </c>
      <c r="D946" s="26">
        <v>-6</v>
      </c>
      <c r="E946" s="26">
        <v>0</v>
      </c>
      <c r="F946" s="26">
        <v>14.75</v>
      </c>
      <c r="G946" s="26">
        <v>14.47</v>
      </c>
      <c r="I946" s="26" t="str">
        <f t="shared" si="29"/>
        <v>Y</v>
      </c>
    </row>
    <row r="947" spans="1:9" x14ac:dyDescent="0.15">
      <c r="A947" s="26">
        <f t="shared" si="28"/>
        <v>4506</v>
      </c>
      <c r="B947" s="27" t="s">
        <v>2749</v>
      </c>
      <c r="C947" s="26" t="s">
        <v>1136</v>
      </c>
      <c r="D947" s="26">
        <v>-69</v>
      </c>
      <c r="E947" s="26">
        <v>0</v>
      </c>
      <c r="F947" s="26">
        <v>27.55</v>
      </c>
      <c r="G947" s="26">
        <v>26.72</v>
      </c>
      <c r="I947" s="26" t="str">
        <f t="shared" si="29"/>
        <v>Y</v>
      </c>
    </row>
    <row r="948" spans="1:9" x14ac:dyDescent="0.15">
      <c r="A948" s="26">
        <f t="shared" si="28"/>
        <v>4510</v>
      </c>
      <c r="B948" s="27" t="s">
        <v>2750</v>
      </c>
      <c r="C948" s="26" t="s">
        <v>1137</v>
      </c>
      <c r="D948" s="26">
        <v>0</v>
      </c>
      <c r="E948" s="26">
        <v>0</v>
      </c>
      <c r="F948" s="26">
        <v>15.95</v>
      </c>
      <c r="G948" s="26">
        <v>15.4</v>
      </c>
      <c r="I948" s="26" t="str">
        <f t="shared" si="29"/>
        <v>Y</v>
      </c>
    </row>
    <row r="949" spans="1:9" x14ac:dyDescent="0.15">
      <c r="A949" s="26">
        <f t="shared" si="28"/>
        <v>4513</v>
      </c>
      <c r="B949" s="27" t="s">
        <v>2751</v>
      </c>
      <c r="C949" s="26" t="s">
        <v>1138</v>
      </c>
      <c r="D949" s="26">
        <v>-4</v>
      </c>
      <c r="E949" s="26">
        <v>0</v>
      </c>
      <c r="F949" s="26">
        <v>10.25</v>
      </c>
      <c r="G949" s="26">
        <v>10.119999999999999</v>
      </c>
      <c r="I949" s="26" t="str">
        <f t="shared" si="29"/>
        <v>Y</v>
      </c>
    </row>
    <row r="950" spans="1:9" x14ac:dyDescent="0.15">
      <c r="A950" s="26">
        <f t="shared" si="28"/>
        <v>4523</v>
      </c>
      <c r="B950" s="27" t="s">
        <v>2752</v>
      </c>
      <c r="C950" s="26" t="s">
        <v>1139</v>
      </c>
      <c r="D950" s="26">
        <v>0</v>
      </c>
      <c r="E950" s="26">
        <v>0</v>
      </c>
      <c r="F950" s="26">
        <v>18.850000000000001</v>
      </c>
      <c r="G950" s="26">
        <v>18.600000000000001</v>
      </c>
      <c r="I950" s="26" t="str">
        <f t="shared" si="29"/>
        <v>Y</v>
      </c>
    </row>
    <row r="951" spans="1:9" x14ac:dyDescent="0.15">
      <c r="A951" s="26">
        <f t="shared" si="28"/>
        <v>4526</v>
      </c>
      <c r="B951" s="27" t="s">
        <v>2753</v>
      </c>
      <c r="C951" s="26" t="s">
        <v>1140</v>
      </c>
      <c r="D951" s="26">
        <v>27</v>
      </c>
      <c r="E951" s="26">
        <v>0</v>
      </c>
      <c r="F951" s="26">
        <v>24.8</v>
      </c>
      <c r="G951" s="26">
        <v>24.23</v>
      </c>
      <c r="I951" s="26" t="str">
        <f t="shared" si="29"/>
        <v>Y</v>
      </c>
    </row>
    <row r="952" spans="1:9" x14ac:dyDescent="0.15">
      <c r="A952" s="26">
        <f t="shared" si="28"/>
        <v>4527</v>
      </c>
      <c r="B952" s="27" t="s">
        <v>2754</v>
      </c>
      <c r="C952" s="26" t="s">
        <v>1141</v>
      </c>
      <c r="D952" s="26">
        <v>16</v>
      </c>
      <c r="E952" s="26">
        <v>0</v>
      </c>
      <c r="F952" s="26">
        <v>25.5</v>
      </c>
      <c r="G952" s="26">
        <v>24.91</v>
      </c>
      <c r="I952" s="26" t="str">
        <f t="shared" si="29"/>
        <v>Y</v>
      </c>
    </row>
    <row r="953" spans="1:9" x14ac:dyDescent="0.15">
      <c r="A953" s="26">
        <f t="shared" si="28"/>
        <v>4528</v>
      </c>
      <c r="B953" s="27" t="s">
        <v>2755</v>
      </c>
      <c r="C953" s="26" t="s">
        <v>1142</v>
      </c>
      <c r="D953" s="26">
        <v>36</v>
      </c>
      <c r="E953" s="26">
        <v>-126</v>
      </c>
      <c r="F953" s="26">
        <v>58.3</v>
      </c>
      <c r="G953" s="26">
        <v>56.56</v>
      </c>
      <c r="I953" s="26" t="str">
        <f t="shared" si="29"/>
        <v>Y</v>
      </c>
    </row>
    <row r="954" spans="1:9" x14ac:dyDescent="0.15">
      <c r="A954" s="26">
        <f t="shared" si="28"/>
        <v>4529</v>
      </c>
      <c r="B954" s="27" t="s">
        <v>2756</v>
      </c>
      <c r="C954" s="26" t="s">
        <v>1143</v>
      </c>
      <c r="D954" s="26">
        <v>1</v>
      </c>
      <c r="E954" s="26">
        <v>0</v>
      </c>
      <c r="F954" s="26">
        <v>46.3</v>
      </c>
      <c r="G954" s="26">
        <v>43.44</v>
      </c>
      <c r="I954" s="26" t="str">
        <f t="shared" si="29"/>
        <v>Y</v>
      </c>
    </row>
    <row r="955" spans="1:9" x14ac:dyDescent="0.15">
      <c r="A955" s="26">
        <f t="shared" si="28"/>
        <v>4530</v>
      </c>
      <c r="B955" s="27" t="s">
        <v>2757</v>
      </c>
      <c r="C955" s="26" t="s">
        <v>1144</v>
      </c>
      <c r="D955" s="26">
        <v>0</v>
      </c>
      <c r="E955" s="26">
        <v>0</v>
      </c>
      <c r="F955" s="26">
        <v>4.5</v>
      </c>
      <c r="G955" s="26">
        <v>4.54</v>
      </c>
      <c r="I955" s="26" t="str">
        <f t="shared" si="29"/>
        <v>-</v>
      </c>
    </row>
    <row r="956" spans="1:9" x14ac:dyDescent="0.15">
      <c r="A956" s="26">
        <f t="shared" si="28"/>
        <v>4532</v>
      </c>
      <c r="B956" s="27" t="s">
        <v>2758</v>
      </c>
      <c r="C956" s="26" t="s">
        <v>1145</v>
      </c>
      <c r="D956" s="26">
        <v>10</v>
      </c>
      <c r="E956" s="26">
        <v>0</v>
      </c>
      <c r="F956" s="26">
        <v>27.1</v>
      </c>
      <c r="G956" s="26">
        <v>26.04</v>
      </c>
      <c r="I956" s="26" t="str">
        <f t="shared" si="29"/>
        <v>Y</v>
      </c>
    </row>
    <row r="957" spans="1:9" x14ac:dyDescent="0.15">
      <c r="A957" s="26">
        <f t="shared" si="28"/>
        <v>4533</v>
      </c>
      <c r="B957" s="27" t="s">
        <v>2759</v>
      </c>
      <c r="C957" s="26" t="s">
        <v>1146</v>
      </c>
      <c r="D957" s="26">
        <v>-3</v>
      </c>
      <c r="E957" s="26">
        <v>0</v>
      </c>
      <c r="F957" s="26">
        <v>12.8</v>
      </c>
      <c r="G957" s="26">
        <v>12.81</v>
      </c>
      <c r="I957" s="26" t="str">
        <f t="shared" si="29"/>
        <v>-</v>
      </c>
    </row>
    <row r="958" spans="1:9" x14ac:dyDescent="0.15">
      <c r="A958" s="26">
        <f t="shared" si="28"/>
        <v>4534</v>
      </c>
      <c r="B958" s="27" t="s">
        <v>2760</v>
      </c>
      <c r="C958" s="26" t="s">
        <v>1147</v>
      </c>
      <c r="D958" s="26">
        <v>213</v>
      </c>
      <c r="E958" s="26">
        <v>0</v>
      </c>
      <c r="F958" s="26">
        <v>14.3</v>
      </c>
      <c r="G958" s="26">
        <v>12.71</v>
      </c>
      <c r="I958" s="26" t="str">
        <f t="shared" si="29"/>
        <v>Y</v>
      </c>
    </row>
    <row r="959" spans="1:9" x14ac:dyDescent="0.15">
      <c r="A959" s="26">
        <f t="shared" si="28"/>
        <v>4535</v>
      </c>
      <c r="B959" s="27" t="s">
        <v>2761</v>
      </c>
      <c r="C959" s="26" t="s">
        <v>1148</v>
      </c>
      <c r="D959" s="26">
        <v>0</v>
      </c>
      <c r="E959" s="26">
        <v>0</v>
      </c>
      <c r="F959" s="26">
        <v>43.75</v>
      </c>
      <c r="G959" s="26">
        <v>43.52</v>
      </c>
      <c r="I959" s="26" t="str">
        <f t="shared" si="29"/>
        <v>Y</v>
      </c>
    </row>
    <row r="960" spans="1:9" x14ac:dyDescent="0.15">
      <c r="A960" s="26">
        <f t="shared" si="28"/>
        <v>4536</v>
      </c>
      <c r="B960" s="27" t="s">
        <v>2762</v>
      </c>
      <c r="C960" s="26" t="s">
        <v>1149</v>
      </c>
      <c r="D960" s="26">
        <v>1</v>
      </c>
      <c r="E960" s="26">
        <v>0</v>
      </c>
      <c r="F960" s="26">
        <v>112</v>
      </c>
      <c r="G960" s="26">
        <v>111.25</v>
      </c>
      <c r="I960" s="26" t="str">
        <f t="shared" si="29"/>
        <v>Y</v>
      </c>
    </row>
    <row r="961" spans="1:9" x14ac:dyDescent="0.15">
      <c r="A961" s="26">
        <f t="shared" si="28"/>
        <v>4541</v>
      </c>
      <c r="B961" s="27" t="s">
        <v>2763</v>
      </c>
      <c r="C961" s="26" t="s">
        <v>1150</v>
      </c>
      <c r="D961" s="26">
        <v>2</v>
      </c>
      <c r="E961" s="26">
        <v>0</v>
      </c>
      <c r="F961" s="26">
        <v>33.200000000000003</v>
      </c>
      <c r="G961" s="26">
        <v>33.299999999999997</v>
      </c>
      <c r="I961" s="26" t="str">
        <f t="shared" si="29"/>
        <v>-</v>
      </c>
    </row>
    <row r="962" spans="1:9" x14ac:dyDescent="0.15">
      <c r="A962" s="26">
        <f t="shared" si="28"/>
        <v>4542</v>
      </c>
      <c r="B962" s="27" t="s">
        <v>2764</v>
      </c>
      <c r="C962" s="26" t="s">
        <v>1151</v>
      </c>
      <c r="D962" s="26">
        <v>0</v>
      </c>
      <c r="E962" s="26">
        <v>0</v>
      </c>
      <c r="F962" s="26">
        <v>19.05</v>
      </c>
      <c r="G962" s="26">
        <v>18.22</v>
      </c>
      <c r="I962" s="26" t="str">
        <f t="shared" si="29"/>
        <v>Y</v>
      </c>
    </row>
    <row r="963" spans="1:9" x14ac:dyDescent="0.15">
      <c r="A963" s="26">
        <f t="shared" si="28"/>
        <v>4545</v>
      </c>
      <c r="B963" s="27" t="s">
        <v>2765</v>
      </c>
      <c r="C963" s="26" t="s">
        <v>1152</v>
      </c>
      <c r="D963" s="26">
        <v>1</v>
      </c>
      <c r="E963" s="26">
        <v>0</v>
      </c>
      <c r="F963" s="26">
        <v>83.2</v>
      </c>
      <c r="G963" s="26">
        <v>82.43</v>
      </c>
      <c r="I963" s="26" t="str">
        <f t="shared" si="29"/>
        <v>Y</v>
      </c>
    </row>
    <row r="964" spans="1:9" x14ac:dyDescent="0.15">
      <c r="A964" s="26">
        <f t="shared" si="28"/>
        <v>4549</v>
      </c>
      <c r="B964" s="27" t="s">
        <v>2766</v>
      </c>
      <c r="C964" s="26" t="s">
        <v>1153</v>
      </c>
      <c r="D964" s="26">
        <v>-1</v>
      </c>
      <c r="E964" s="26">
        <v>0</v>
      </c>
      <c r="F964" s="26">
        <v>70.900000000000006</v>
      </c>
      <c r="G964" s="26">
        <v>71.680000000000007</v>
      </c>
      <c r="I964" s="26" t="str">
        <f t="shared" si="29"/>
        <v>-</v>
      </c>
    </row>
    <row r="965" spans="1:9" x14ac:dyDescent="0.15">
      <c r="A965" s="26">
        <f t="shared" si="28"/>
        <v>4550</v>
      </c>
      <c r="B965" s="27" t="s">
        <v>2767</v>
      </c>
      <c r="C965" s="26" t="s">
        <v>1154</v>
      </c>
      <c r="D965" s="26">
        <v>0</v>
      </c>
      <c r="E965" s="26">
        <v>0</v>
      </c>
      <c r="F965" s="26">
        <v>19.95</v>
      </c>
      <c r="G965" s="26">
        <v>19.809999999999999</v>
      </c>
      <c r="I965" s="26" t="str">
        <f t="shared" si="29"/>
        <v>Y</v>
      </c>
    </row>
    <row r="966" spans="1:9" x14ac:dyDescent="0.15">
      <c r="A966" s="26">
        <f t="shared" si="28"/>
        <v>4551</v>
      </c>
      <c r="B966" s="27" t="s">
        <v>2768</v>
      </c>
      <c r="C966" s="26" t="s">
        <v>1155</v>
      </c>
      <c r="D966" s="26">
        <v>17</v>
      </c>
      <c r="E966" s="26">
        <v>148</v>
      </c>
      <c r="F966" s="26">
        <v>84</v>
      </c>
      <c r="G966" s="26">
        <v>81.209999999999994</v>
      </c>
      <c r="I966" s="26" t="str">
        <f t="shared" si="29"/>
        <v>Y</v>
      </c>
    </row>
    <row r="967" spans="1:9" x14ac:dyDescent="0.15">
      <c r="A967" s="26">
        <f t="shared" ref="A967:A1030" si="30">VALUE(B967)</f>
        <v>4555</v>
      </c>
      <c r="B967" s="27" t="s">
        <v>2769</v>
      </c>
      <c r="C967" s="26" t="s">
        <v>1156</v>
      </c>
      <c r="D967" s="26">
        <v>4</v>
      </c>
      <c r="E967" s="26">
        <v>0</v>
      </c>
      <c r="F967" s="26">
        <v>76</v>
      </c>
      <c r="G967" s="26">
        <v>73.42</v>
      </c>
      <c r="I967" s="26" t="str">
        <f t="shared" ref="I967:I1030" si="31">IF(F967&gt;G967,"Y","-")</f>
        <v>Y</v>
      </c>
    </row>
    <row r="968" spans="1:9" x14ac:dyDescent="0.15">
      <c r="A968" s="26">
        <f t="shared" si="30"/>
        <v>4556</v>
      </c>
      <c r="B968" s="27" t="s">
        <v>2770</v>
      </c>
      <c r="C968" s="26" t="s">
        <v>1157</v>
      </c>
      <c r="D968" s="26">
        <v>-9</v>
      </c>
      <c r="E968" s="26">
        <v>0</v>
      </c>
      <c r="F968" s="26">
        <v>33.5</v>
      </c>
      <c r="G968" s="26">
        <v>33.19</v>
      </c>
      <c r="I968" s="26" t="str">
        <f t="shared" si="31"/>
        <v>Y</v>
      </c>
    </row>
    <row r="969" spans="1:9" x14ac:dyDescent="0.15">
      <c r="A969" s="26">
        <f t="shared" si="30"/>
        <v>4557</v>
      </c>
      <c r="B969" s="27" t="s">
        <v>2771</v>
      </c>
      <c r="C969" s="26" t="s">
        <v>1158</v>
      </c>
      <c r="D969" s="26">
        <v>-5</v>
      </c>
      <c r="E969" s="26">
        <v>0</v>
      </c>
      <c r="F969" s="26">
        <v>76.3</v>
      </c>
      <c r="G969" s="26">
        <v>75.599999999999994</v>
      </c>
      <c r="I969" s="26" t="str">
        <f t="shared" si="31"/>
        <v>Y</v>
      </c>
    </row>
    <row r="970" spans="1:9" x14ac:dyDescent="0.15">
      <c r="A970" s="26">
        <f t="shared" si="30"/>
        <v>4609</v>
      </c>
      <c r="B970" s="27" t="s">
        <v>2772</v>
      </c>
      <c r="C970" s="26" t="s">
        <v>1159</v>
      </c>
      <c r="D970" s="26">
        <v>0</v>
      </c>
      <c r="E970" s="26">
        <v>0</v>
      </c>
      <c r="F970" s="26">
        <v>8.09</v>
      </c>
      <c r="G970" s="26">
        <v>7.93</v>
      </c>
      <c r="I970" s="26" t="str">
        <f t="shared" si="31"/>
        <v>Y</v>
      </c>
    </row>
    <row r="971" spans="1:9" x14ac:dyDescent="0.15">
      <c r="A971" s="26">
        <f t="shared" si="30"/>
        <v>4702</v>
      </c>
      <c r="B971" s="27" t="s">
        <v>2773</v>
      </c>
      <c r="C971" s="26" t="s">
        <v>1160</v>
      </c>
      <c r="D971" s="26">
        <v>-11</v>
      </c>
      <c r="E971" s="26">
        <v>0</v>
      </c>
      <c r="F971" s="26">
        <v>11.7</v>
      </c>
      <c r="G971" s="26">
        <v>11.15</v>
      </c>
      <c r="I971" s="26" t="str">
        <f t="shared" si="31"/>
        <v>Y</v>
      </c>
    </row>
    <row r="972" spans="1:9" x14ac:dyDescent="0.15">
      <c r="A972" s="26">
        <f t="shared" si="30"/>
        <v>4706</v>
      </c>
      <c r="B972" s="27" t="s">
        <v>2774</v>
      </c>
      <c r="C972" s="26" t="s">
        <v>1161</v>
      </c>
      <c r="D972" s="26">
        <v>0</v>
      </c>
      <c r="E972" s="26">
        <v>0</v>
      </c>
      <c r="F972" s="26">
        <v>16.5</v>
      </c>
      <c r="G972" s="26">
        <v>16.28</v>
      </c>
      <c r="I972" s="26" t="str">
        <f t="shared" si="31"/>
        <v>Y</v>
      </c>
    </row>
    <row r="973" spans="1:9" x14ac:dyDescent="0.15">
      <c r="A973" s="26">
        <f t="shared" si="30"/>
        <v>4707</v>
      </c>
      <c r="B973" s="27" t="s">
        <v>2775</v>
      </c>
      <c r="C973" s="26" t="s">
        <v>1162</v>
      </c>
      <c r="D973" s="26">
        <v>-15</v>
      </c>
      <c r="E973" s="26">
        <v>0</v>
      </c>
      <c r="F973" s="26">
        <v>8.4700000000000006</v>
      </c>
      <c r="G973" s="26">
        <v>8.24</v>
      </c>
      <c r="I973" s="26" t="str">
        <f t="shared" si="31"/>
        <v>Y</v>
      </c>
    </row>
    <row r="974" spans="1:9" x14ac:dyDescent="0.15">
      <c r="A974" s="26">
        <f t="shared" si="30"/>
        <v>4711</v>
      </c>
      <c r="B974" s="27" t="s">
        <v>2776</v>
      </c>
      <c r="C974" s="26" t="s">
        <v>1163</v>
      </c>
      <c r="D974" s="26">
        <v>0</v>
      </c>
      <c r="E974" s="26">
        <v>0</v>
      </c>
      <c r="F974" s="26">
        <v>12.55</v>
      </c>
      <c r="G974" s="26">
        <v>12.29</v>
      </c>
      <c r="I974" s="26" t="str">
        <f t="shared" si="31"/>
        <v>Y</v>
      </c>
    </row>
    <row r="975" spans="1:9" x14ac:dyDescent="0.15">
      <c r="A975" s="26">
        <f t="shared" si="30"/>
        <v>4712</v>
      </c>
      <c r="B975" s="27" t="s">
        <v>2777</v>
      </c>
      <c r="C975" s="26" t="s">
        <v>1164</v>
      </c>
      <c r="D975" s="26">
        <v>3</v>
      </c>
      <c r="E975" s="26">
        <v>0</v>
      </c>
      <c r="F975" s="26">
        <v>8.6199999999999992</v>
      </c>
      <c r="G975" s="26">
        <v>8.75</v>
      </c>
      <c r="I975" s="26" t="str">
        <f t="shared" si="31"/>
        <v>-</v>
      </c>
    </row>
    <row r="976" spans="1:9" x14ac:dyDescent="0.15">
      <c r="A976" s="26">
        <f t="shared" si="30"/>
        <v>4714</v>
      </c>
      <c r="B976" s="27" t="s">
        <v>2778</v>
      </c>
      <c r="C976" s="26" t="s">
        <v>1165</v>
      </c>
      <c r="D976" s="26">
        <v>0</v>
      </c>
      <c r="E976" s="26">
        <v>0</v>
      </c>
      <c r="F976" s="26">
        <v>8.65</v>
      </c>
      <c r="G976" s="26">
        <v>8.39</v>
      </c>
      <c r="I976" s="26" t="str">
        <f t="shared" si="31"/>
        <v>Y</v>
      </c>
    </row>
    <row r="977" spans="1:9" x14ac:dyDescent="0.15">
      <c r="A977" s="26">
        <f t="shared" si="30"/>
        <v>4716</v>
      </c>
      <c r="B977" s="27" t="s">
        <v>2779</v>
      </c>
      <c r="C977" s="26" t="s">
        <v>1166</v>
      </c>
      <c r="D977" s="26">
        <v>-5</v>
      </c>
      <c r="E977" s="26">
        <v>0</v>
      </c>
      <c r="F977" s="26">
        <v>10.3</v>
      </c>
      <c r="G977" s="26">
        <v>9.74</v>
      </c>
      <c r="I977" s="26" t="str">
        <f t="shared" si="31"/>
        <v>Y</v>
      </c>
    </row>
    <row r="978" spans="1:9" x14ac:dyDescent="0.15">
      <c r="A978" s="26">
        <f t="shared" si="30"/>
        <v>4720</v>
      </c>
      <c r="B978" s="27" t="s">
        <v>2780</v>
      </c>
      <c r="C978" s="26" t="s">
        <v>1167</v>
      </c>
      <c r="D978" s="26">
        <v>0</v>
      </c>
      <c r="E978" s="26">
        <v>0</v>
      </c>
      <c r="F978" s="26">
        <v>17.149999999999999</v>
      </c>
      <c r="G978" s="26">
        <v>17.02</v>
      </c>
      <c r="I978" s="26" t="str">
        <f t="shared" si="31"/>
        <v>Y</v>
      </c>
    </row>
    <row r="979" spans="1:9" x14ac:dyDescent="0.15">
      <c r="A979" s="26">
        <f t="shared" si="30"/>
        <v>4721</v>
      </c>
      <c r="B979" s="27" t="s">
        <v>2781</v>
      </c>
      <c r="C979" s="26" t="s">
        <v>1168</v>
      </c>
      <c r="D979" s="26">
        <v>-6</v>
      </c>
      <c r="E979" s="26">
        <v>0</v>
      </c>
      <c r="F979" s="26">
        <v>24.9</v>
      </c>
      <c r="G979" s="26">
        <v>23.67</v>
      </c>
      <c r="I979" s="26" t="str">
        <f t="shared" si="31"/>
        <v>Y</v>
      </c>
    </row>
    <row r="980" spans="1:9" x14ac:dyDescent="0.15">
      <c r="A980" s="26">
        <f t="shared" si="30"/>
        <v>4722</v>
      </c>
      <c r="B980" s="27" t="s">
        <v>2782</v>
      </c>
      <c r="C980" s="26" t="s">
        <v>1169</v>
      </c>
      <c r="D980" s="26">
        <v>7</v>
      </c>
      <c r="E980" s="26">
        <v>0</v>
      </c>
      <c r="F980" s="26">
        <v>34.6</v>
      </c>
      <c r="G980" s="26">
        <v>34.19</v>
      </c>
      <c r="I980" s="26" t="str">
        <f t="shared" si="31"/>
        <v>Y</v>
      </c>
    </row>
    <row r="981" spans="1:9" x14ac:dyDescent="0.15">
      <c r="A981" s="26">
        <f t="shared" si="30"/>
        <v>4725</v>
      </c>
      <c r="B981" s="27" t="s">
        <v>2783</v>
      </c>
      <c r="C981" s="26" t="s">
        <v>1170</v>
      </c>
      <c r="D981" s="26">
        <v>-1</v>
      </c>
      <c r="E981" s="26">
        <v>0</v>
      </c>
      <c r="F981" s="26">
        <v>16.899999999999999</v>
      </c>
      <c r="G981" s="26">
        <v>15.58</v>
      </c>
      <c r="I981" s="26" t="str">
        <f t="shared" si="31"/>
        <v>Y</v>
      </c>
    </row>
    <row r="982" spans="1:9" x14ac:dyDescent="0.15">
      <c r="A982" s="26">
        <f t="shared" si="30"/>
        <v>4726</v>
      </c>
      <c r="B982" s="27" t="s">
        <v>2784</v>
      </c>
      <c r="C982" s="26" t="s">
        <v>1171</v>
      </c>
      <c r="D982" s="26">
        <v>0</v>
      </c>
      <c r="E982" s="26">
        <v>0</v>
      </c>
      <c r="F982" s="26">
        <v>43.2</v>
      </c>
      <c r="G982" s="26">
        <v>44.04</v>
      </c>
      <c r="I982" s="26" t="str">
        <f t="shared" si="31"/>
        <v>-</v>
      </c>
    </row>
    <row r="983" spans="1:9" x14ac:dyDescent="0.15">
      <c r="A983" s="26">
        <f t="shared" si="30"/>
        <v>4728</v>
      </c>
      <c r="B983" s="27" t="s">
        <v>2785</v>
      </c>
      <c r="C983" s="26" t="s">
        <v>1172</v>
      </c>
      <c r="D983" s="26">
        <v>-3</v>
      </c>
      <c r="E983" s="26">
        <v>0</v>
      </c>
      <c r="F983" s="26">
        <v>43</v>
      </c>
      <c r="G983" s="26">
        <v>41.62</v>
      </c>
      <c r="I983" s="26" t="str">
        <f t="shared" si="31"/>
        <v>Y</v>
      </c>
    </row>
    <row r="984" spans="1:9" x14ac:dyDescent="0.15">
      <c r="A984" s="26">
        <f t="shared" si="30"/>
        <v>4729</v>
      </c>
      <c r="B984" s="27" t="s">
        <v>2786</v>
      </c>
      <c r="C984" s="26" t="s">
        <v>1173</v>
      </c>
      <c r="D984" s="26">
        <v>301</v>
      </c>
      <c r="E984" s="26">
        <v>0</v>
      </c>
      <c r="F984" s="26">
        <v>14.5</v>
      </c>
      <c r="G984" s="26">
        <v>12.28</v>
      </c>
      <c r="I984" s="26" t="str">
        <f t="shared" si="31"/>
        <v>Y</v>
      </c>
    </row>
    <row r="985" spans="1:9" x14ac:dyDescent="0.15">
      <c r="A985" s="26">
        <f t="shared" si="30"/>
        <v>4733</v>
      </c>
      <c r="B985" s="27" t="s">
        <v>2787</v>
      </c>
      <c r="C985" s="26" t="s">
        <v>1174</v>
      </c>
      <c r="D985" s="26">
        <v>1858</v>
      </c>
      <c r="E985" s="26">
        <v>0</v>
      </c>
      <c r="F985" s="26">
        <v>153</v>
      </c>
      <c r="G985" s="26">
        <v>142.46</v>
      </c>
      <c r="I985" s="26" t="str">
        <f t="shared" si="31"/>
        <v>Y</v>
      </c>
    </row>
    <row r="986" spans="1:9" x14ac:dyDescent="0.15">
      <c r="A986" s="26">
        <f t="shared" si="30"/>
        <v>4735</v>
      </c>
      <c r="B986" s="27" t="s">
        <v>2788</v>
      </c>
      <c r="C986" s="26" t="s">
        <v>1175</v>
      </c>
      <c r="D986" s="26">
        <v>-19</v>
      </c>
      <c r="E986" s="26">
        <v>0</v>
      </c>
      <c r="F986" s="26">
        <v>34.049999999999997</v>
      </c>
      <c r="G986" s="26">
        <v>34.6</v>
      </c>
      <c r="I986" s="26" t="str">
        <f t="shared" si="31"/>
        <v>-</v>
      </c>
    </row>
    <row r="987" spans="1:9" x14ac:dyDescent="0.15">
      <c r="A987" s="26">
        <f t="shared" si="30"/>
        <v>4736</v>
      </c>
      <c r="B987" s="27" t="s">
        <v>2789</v>
      </c>
      <c r="C987" s="26" t="s">
        <v>1176</v>
      </c>
      <c r="D987" s="26">
        <v>-68</v>
      </c>
      <c r="E987" s="26">
        <v>0</v>
      </c>
      <c r="F987" s="26">
        <v>110</v>
      </c>
      <c r="G987" s="26">
        <v>110.96</v>
      </c>
      <c r="I987" s="26" t="str">
        <f t="shared" si="31"/>
        <v>-</v>
      </c>
    </row>
    <row r="988" spans="1:9" x14ac:dyDescent="0.15">
      <c r="A988" s="26">
        <f t="shared" si="30"/>
        <v>4737</v>
      </c>
      <c r="B988" s="27" t="s">
        <v>2790</v>
      </c>
      <c r="C988" s="26" t="s">
        <v>1177</v>
      </c>
      <c r="D988" s="26">
        <v>15</v>
      </c>
      <c r="E988" s="26">
        <v>0</v>
      </c>
      <c r="F988" s="26">
        <v>55</v>
      </c>
      <c r="G988" s="26">
        <v>52.87</v>
      </c>
      <c r="I988" s="26" t="str">
        <f t="shared" si="31"/>
        <v>Y</v>
      </c>
    </row>
    <row r="989" spans="1:9" x14ac:dyDescent="0.15">
      <c r="A989" s="26">
        <f t="shared" si="30"/>
        <v>4739</v>
      </c>
      <c r="B989" s="27" t="s">
        <v>2791</v>
      </c>
      <c r="C989" s="26" t="s">
        <v>1178</v>
      </c>
      <c r="D989" s="26">
        <v>-15</v>
      </c>
      <c r="E989" s="26">
        <v>0</v>
      </c>
      <c r="F989" s="26">
        <v>42.1</v>
      </c>
      <c r="G989" s="26">
        <v>40.659999999999997</v>
      </c>
      <c r="I989" s="26" t="str">
        <f t="shared" si="31"/>
        <v>Y</v>
      </c>
    </row>
    <row r="990" spans="1:9" x14ac:dyDescent="0.15">
      <c r="A990" s="26">
        <f t="shared" si="30"/>
        <v>4743</v>
      </c>
      <c r="B990" s="27" t="s">
        <v>2792</v>
      </c>
      <c r="C990" s="26" t="s">
        <v>1179</v>
      </c>
      <c r="D990" s="26">
        <v>-16</v>
      </c>
      <c r="E990" s="26">
        <v>0</v>
      </c>
      <c r="F990" s="26">
        <v>34.1</v>
      </c>
      <c r="G990" s="26">
        <v>33.89</v>
      </c>
      <c r="I990" s="26" t="str">
        <f t="shared" si="31"/>
        <v>Y</v>
      </c>
    </row>
    <row r="991" spans="1:9" x14ac:dyDescent="0.15">
      <c r="A991" s="26">
        <f t="shared" si="30"/>
        <v>4745</v>
      </c>
      <c r="B991" s="27" t="s">
        <v>2793</v>
      </c>
      <c r="C991" s="26" t="s">
        <v>1180</v>
      </c>
      <c r="D991" s="26">
        <v>4</v>
      </c>
      <c r="E991" s="26">
        <v>0</v>
      </c>
      <c r="F991" s="26">
        <v>58.7</v>
      </c>
      <c r="G991" s="26">
        <v>57.77</v>
      </c>
      <c r="I991" s="26" t="str">
        <f t="shared" si="31"/>
        <v>Y</v>
      </c>
    </row>
    <row r="992" spans="1:9" x14ac:dyDescent="0.15">
      <c r="A992" s="26">
        <f t="shared" si="30"/>
        <v>4746</v>
      </c>
      <c r="B992" s="27" t="s">
        <v>2794</v>
      </c>
      <c r="C992" s="26" t="s">
        <v>1181</v>
      </c>
      <c r="D992" s="26">
        <v>-98</v>
      </c>
      <c r="E992" s="26">
        <v>0</v>
      </c>
      <c r="F992" s="26">
        <v>73.599999999999994</v>
      </c>
      <c r="G992" s="26">
        <v>74.42</v>
      </c>
      <c r="I992" s="26" t="str">
        <f t="shared" si="31"/>
        <v>-</v>
      </c>
    </row>
    <row r="993" spans="1:9" x14ac:dyDescent="0.15">
      <c r="A993" s="26">
        <f t="shared" si="30"/>
        <v>4747</v>
      </c>
      <c r="B993" s="27" t="s">
        <v>2795</v>
      </c>
      <c r="C993" s="26" t="s">
        <v>1182</v>
      </c>
      <c r="D993" s="26">
        <v>34</v>
      </c>
      <c r="E993" s="26">
        <v>0</v>
      </c>
      <c r="F993" s="26">
        <v>45</v>
      </c>
      <c r="G993" s="26">
        <v>43.58</v>
      </c>
      <c r="I993" s="26" t="str">
        <f t="shared" si="31"/>
        <v>Y</v>
      </c>
    </row>
    <row r="994" spans="1:9" x14ac:dyDescent="0.15">
      <c r="A994" s="26">
        <f t="shared" si="30"/>
        <v>4755</v>
      </c>
      <c r="B994" s="27" t="s">
        <v>2796</v>
      </c>
      <c r="C994" s="26" t="s">
        <v>1183</v>
      </c>
      <c r="D994" s="26">
        <v>0</v>
      </c>
      <c r="E994" s="26">
        <v>0</v>
      </c>
      <c r="F994" s="26">
        <v>23.9</v>
      </c>
      <c r="G994" s="26">
        <v>23.42</v>
      </c>
      <c r="I994" s="26" t="str">
        <f t="shared" si="31"/>
        <v>Y</v>
      </c>
    </row>
    <row r="995" spans="1:9" x14ac:dyDescent="0.15">
      <c r="A995" s="26">
        <f t="shared" si="30"/>
        <v>4762</v>
      </c>
      <c r="B995" s="27" t="s">
        <v>2797</v>
      </c>
      <c r="C995" s="26" t="s">
        <v>1184</v>
      </c>
      <c r="D995" s="26">
        <v>1</v>
      </c>
      <c r="E995" s="26">
        <v>0</v>
      </c>
      <c r="F995" s="26">
        <v>63.3</v>
      </c>
      <c r="G995" s="26">
        <v>64.02</v>
      </c>
      <c r="I995" s="26" t="str">
        <f t="shared" si="31"/>
        <v>-</v>
      </c>
    </row>
    <row r="996" spans="1:9" x14ac:dyDescent="0.15">
      <c r="A996" s="26">
        <f t="shared" si="30"/>
        <v>4763</v>
      </c>
      <c r="B996" s="27" t="s">
        <v>2798</v>
      </c>
      <c r="C996" s="26" t="s">
        <v>1185</v>
      </c>
      <c r="D996" s="26">
        <v>3</v>
      </c>
      <c r="E996" s="26">
        <v>0</v>
      </c>
      <c r="F996" s="26">
        <v>112.5</v>
      </c>
      <c r="G996" s="26">
        <v>109.21</v>
      </c>
      <c r="I996" s="26" t="str">
        <f t="shared" si="31"/>
        <v>Y</v>
      </c>
    </row>
    <row r="997" spans="1:9" x14ac:dyDescent="0.15">
      <c r="A997" s="26">
        <f t="shared" si="30"/>
        <v>4803</v>
      </c>
      <c r="B997" s="27" t="s">
        <v>2799</v>
      </c>
      <c r="C997" s="26" t="s">
        <v>1186</v>
      </c>
      <c r="D997" s="26">
        <v>-107</v>
      </c>
      <c r="E997" s="26">
        <v>143</v>
      </c>
      <c r="F997" s="26">
        <v>157.5</v>
      </c>
      <c r="G997" s="26">
        <v>146.96</v>
      </c>
      <c r="I997" s="26" t="str">
        <f t="shared" si="31"/>
        <v>Y</v>
      </c>
    </row>
    <row r="998" spans="1:9" x14ac:dyDescent="0.15">
      <c r="A998" s="26">
        <f t="shared" si="30"/>
        <v>4804</v>
      </c>
      <c r="B998" s="27" t="s">
        <v>2800</v>
      </c>
      <c r="C998" s="26" t="s">
        <v>1187</v>
      </c>
      <c r="D998" s="26">
        <v>-2</v>
      </c>
      <c r="E998" s="26">
        <v>0</v>
      </c>
      <c r="F998" s="26">
        <v>127.5</v>
      </c>
      <c r="G998" s="26">
        <v>124.25</v>
      </c>
      <c r="I998" s="26" t="str">
        <f t="shared" si="31"/>
        <v>Y</v>
      </c>
    </row>
    <row r="999" spans="1:9" x14ac:dyDescent="0.15">
      <c r="A999" s="26">
        <f t="shared" si="30"/>
        <v>4903</v>
      </c>
      <c r="B999" s="27" t="s">
        <v>2801</v>
      </c>
      <c r="C999" s="26" t="s">
        <v>1188</v>
      </c>
      <c r="D999" s="26">
        <v>5</v>
      </c>
      <c r="E999" s="26">
        <v>0</v>
      </c>
      <c r="F999" s="26">
        <v>13.75</v>
      </c>
      <c r="G999" s="26">
        <v>12.36</v>
      </c>
      <c r="I999" s="26" t="str">
        <f t="shared" si="31"/>
        <v>Y</v>
      </c>
    </row>
    <row r="1000" spans="1:9" x14ac:dyDescent="0.15">
      <c r="A1000" s="26">
        <f t="shared" si="30"/>
        <v>4904</v>
      </c>
      <c r="B1000" s="27" t="s">
        <v>2802</v>
      </c>
      <c r="C1000" s="26" t="s">
        <v>1189</v>
      </c>
      <c r="D1000" s="26">
        <v>866</v>
      </c>
      <c r="E1000" s="26">
        <v>-62</v>
      </c>
      <c r="F1000" s="26">
        <v>70.3</v>
      </c>
      <c r="G1000" s="26">
        <v>69.38</v>
      </c>
      <c r="I1000" s="26" t="str">
        <f t="shared" si="31"/>
        <v>Y</v>
      </c>
    </row>
    <row r="1001" spans="1:9" x14ac:dyDescent="0.15">
      <c r="A1001" s="26">
        <f t="shared" si="30"/>
        <v>4905</v>
      </c>
      <c r="B1001" s="27" t="s">
        <v>2803</v>
      </c>
      <c r="C1001" s="26" t="s">
        <v>1190</v>
      </c>
      <c r="D1001" s="26">
        <v>7</v>
      </c>
      <c r="E1001" s="26">
        <v>0</v>
      </c>
      <c r="F1001" s="26">
        <v>55.8</v>
      </c>
      <c r="G1001" s="26">
        <v>54.58</v>
      </c>
      <c r="I1001" s="26" t="str">
        <f t="shared" si="31"/>
        <v>Y</v>
      </c>
    </row>
    <row r="1002" spans="1:9" x14ac:dyDescent="0.15">
      <c r="A1002" s="26">
        <f t="shared" si="30"/>
        <v>4906</v>
      </c>
      <c r="B1002" s="27" t="s">
        <v>2804</v>
      </c>
      <c r="C1002" s="26" t="s">
        <v>1191</v>
      </c>
      <c r="D1002" s="26">
        <v>-23</v>
      </c>
      <c r="E1002" s="26">
        <v>0</v>
      </c>
      <c r="F1002" s="26">
        <v>19.100000000000001</v>
      </c>
      <c r="G1002" s="26">
        <v>18.5</v>
      </c>
      <c r="I1002" s="26" t="str">
        <f t="shared" si="31"/>
        <v>Y</v>
      </c>
    </row>
    <row r="1003" spans="1:9" x14ac:dyDescent="0.15">
      <c r="A1003" s="26">
        <f t="shared" si="30"/>
        <v>4907</v>
      </c>
      <c r="B1003" s="27" t="s">
        <v>2805</v>
      </c>
      <c r="C1003" s="26" t="s">
        <v>1192</v>
      </c>
      <c r="D1003" s="26">
        <v>0</v>
      </c>
      <c r="E1003" s="26">
        <v>0</v>
      </c>
      <c r="F1003" s="26">
        <v>10.35</v>
      </c>
      <c r="G1003" s="26">
        <v>10.51</v>
      </c>
      <c r="I1003" s="26" t="str">
        <f t="shared" si="31"/>
        <v>-</v>
      </c>
    </row>
    <row r="1004" spans="1:9" x14ac:dyDescent="0.15">
      <c r="A1004" s="26">
        <f t="shared" si="30"/>
        <v>4908</v>
      </c>
      <c r="B1004" s="27" t="s">
        <v>2806</v>
      </c>
      <c r="C1004" s="26" t="s">
        <v>1193</v>
      </c>
      <c r="D1004" s="26">
        <v>1</v>
      </c>
      <c r="E1004" s="26">
        <v>0</v>
      </c>
      <c r="F1004" s="26">
        <v>20.149999999999999</v>
      </c>
      <c r="G1004" s="26">
        <v>19.3</v>
      </c>
      <c r="I1004" s="26" t="str">
        <f t="shared" si="31"/>
        <v>Y</v>
      </c>
    </row>
    <row r="1005" spans="1:9" x14ac:dyDescent="0.15">
      <c r="A1005" s="26">
        <f t="shared" si="30"/>
        <v>4909</v>
      </c>
      <c r="B1005" s="27" t="s">
        <v>2807</v>
      </c>
      <c r="C1005" s="26" t="s">
        <v>1194</v>
      </c>
      <c r="D1005" s="26">
        <v>3</v>
      </c>
      <c r="E1005" s="26">
        <v>0</v>
      </c>
      <c r="F1005" s="26">
        <v>25.5</v>
      </c>
      <c r="G1005" s="26">
        <v>24.85</v>
      </c>
      <c r="I1005" s="26" t="str">
        <f t="shared" si="31"/>
        <v>Y</v>
      </c>
    </row>
    <row r="1006" spans="1:9" x14ac:dyDescent="0.15">
      <c r="A1006" s="26">
        <f t="shared" si="30"/>
        <v>4911</v>
      </c>
      <c r="B1006" s="27" t="s">
        <v>2808</v>
      </c>
      <c r="C1006" s="26" t="s">
        <v>1195</v>
      </c>
      <c r="D1006" s="26">
        <v>0</v>
      </c>
      <c r="E1006" s="26">
        <v>0</v>
      </c>
      <c r="F1006" s="26">
        <v>82.8</v>
      </c>
      <c r="G1006" s="26">
        <v>81.58</v>
      </c>
      <c r="I1006" s="26" t="str">
        <f t="shared" si="31"/>
        <v>Y</v>
      </c>
    </row>
    <row r="1007" spans="1:9" x14ac:dyDescent="0.15">
      <c r="A1007" s="26">
        <f t="shared" si="30"/>
        <v>4912</v>
      </c>
      <c r="B1007" s="27" t="s">
        <v>2809</v>
      </c>
      <c r="C1007" s="26" t="s">
        <v>1196</v>
      </c>
      <c r="D1007" s="26">
        <v>1</v>
      </c>
      <c r="E1007" s="26">
        <v>0</v>
      </c>
      <c r="F1007" s="26">
        <v>88.3</v>
      </c>
      <c r="G1007" s="26">
        <v>86.92</v>
      </c>
      <c r="I1007" s="26" t="str">
        <f t="shared" si="31"/>
        <v>Y</v>
      </c>
    </row>
    <row r="1008" spans="1:9" x14ac:dyDescent="0.15">
      <c r="A1008" s="26">
        <f t="shared" si="30"/>
        <v>4915</v>
      </c>
      <c r="B1008" s="27" t="s">
        <v>2810</v>
      </c>
      <c r="C1008" s="26" t="s">
        <v>1197</v>
      </c>
      <c r="D1008" s="26">
        <v>38</v>
      </c>
      <c r="E1008" s="26">
        <v>-82</v>
      </c>
      <c r="F1008" s="26">
        <v>41</v>
      </c>
      <c r="G1008" s="26">
        <v>39.729999999999997</v>
      </c>
      <c r="I1008" s="26" t="str">
        <f t="shared" si="31"/>
        <v>Y</v>
      </c>
    </row>
    <row r="1009" spans="1:9" x14ac:dyDescent="0.15">
      <c r="A1009" s="26">
        <f t="shared" si="30"/>
        <v>4916</v>
      </c>
      <c r="B1009" s="27" t="s">
        <v>2811</v>
      </c>
      <c r="C1009" s="26" t="s">
        <v>1198</v>
      </c>
      <c r="D1009" s="26">
        <v>-38</v>
      </c>
      <c r="E1009" s="26">
        <v>0</v>
      </c>
      <c r="F1009" s="26">
        <v>25.2</v>
      </c>
      <c r="G1009" s="26">
        <v>23.32</v>
      </c>
      <c r="I1009" s="26" t="str">
        <f t="shared" si="31"/>
        <v>Y</v>
      </c>
    </row>
    <row r="1010" spans="1:9" x14ac:dyDescent="0.15">
      <c r="A1010" s="26">
        <f t="shared" si="30"/>
        <v>4919</v>
      </c>
      <c r="B1010" s="27" t="s">
        <v>2812</v>
      </c>
      <c r="C1010" s="26" t="s">
        <v>1199</v>
      </c>
      <c r="D1010" s="26">
        <v>-63</v>
      </c>
      <c r="E1010" s="26">
        <v>235</v>
      </c>
      <c r="F1010" s="26">
        <v>33.15</v>
      </c>
      <c r="G1010" s="26">
        <v>33.24</v>
      </c>
      <c r="I1010" s="26" t="str">
        <f t="shared" si="31"/>
        <v>-</v>
      </c>
    </row>
    <row r="1011" spans="1:9" x14ac:dyDescent="0.15">
      <c r="A1011" s="26">
        <f t="shared" si="30"/>
        <v>4924</v>
      </c>
      <c r="B1011" s="27" t="s">
        <v>2813</v>
      </c>
      <c r="C1011" s="26" t="s">
        <v>1200</v>
      </c>
      <c r="D1011" s="26">
        <v>-6</v>
      </c>
      <c r="E1011" s="26">
        <v>0</v>
      </c>
      <c r="F1011" s="26">
        <v>7.65</v>
      </c>
      <c r="G1011" s="26">
        <v>6.98</v>
      </c>
      <c r="I1011" s="26" t="str">
        <f t="shared" si="31"/>
        <v>Y</v>
      </c>
    </row>
    <row r="1012" spans="1:9" x14ac:dyDescent="0.15">
      <c r="A1012" s="26">
        <f t="shared" si="30"/>
        <v>4927</v>
      </c>
      <c r="B1012" s="27" t="s">
        <v>2814</v>
      </c>
      <c r="C1012" s="26" t="s">
        <v>1201</v>
      </c>
      <c r="D1012" s="26">
        <v>-30</v>
      </c>
      <c r="E1012" s="26">
        <v>-25</v>
      </c>
      <c r="F1012" s="26">
        <v>37.65</v>
      </c>
      <c r="G1012" s="26">
        <v>37.14</v>
      </c>
      <c r="I1012" s="26" t="str">
        <f t="shared" si="31"/>
        <v>Y</v>
      </c>
    </row>
    <row r="1013" spans="1:9" x14ac:dyDescent="0.15">
      <c r="A1013" s="26">
        <f t="shared" si="30"/>
        <v>4930</v>
      </c>
      <c r="B1013" s="27" t="s">
        <v>2815</v>
      </c>
      <c r="C1013" s="26" t="s">
        <v>1202</v>
      </c>
      <c r="D1013" s="26">
        <v>30</v>
      </c>
      <c r="E1013" s="26">
        <v>0</v>
      </c>
      <c r="F1013" s="26">
        <v>15.65</v>
      </c>
      <c r="G1013" s="26">
        <v>15.2</v>
      </c>
      <c r="I1013" s="26" t="str">
        <f t="shared" si="31"/>
        <v>Y</v>
      </c>
    </row>
    <row r="1014" spans="1:9" x14ac:dyDescent="0.15">
      <c r="A1014" s="26">
        <f t="shared" si="30"/>
        <v>4933</v>
      </c>
      <c r="B1014" s="27" t="s">
        <v>2816</v>
      </c>
      <c r="C1014" s="26" t="s">
        <v>1203</v>
      </c>
      <c r="D1014" s="26">
        <v>6</v>
      </c>
      <c r="E1014" s="26">
        <v>0</v>
      </c>
      <c r="F1014" s="26">
        <v>24.45</v>
      </c>
      <c r="G1014" s="26">
        <v>23.06</v>
      </c>
      <c r="I1014" s="26" t="str">
        <f t="shared" si="31"/>
        <v>Y</v>
      </c>
    </row>
    <row r="1015" spans="1:9" x14ac:dyDescent="0.15">
      <c r="A1015" s="26">
        <f t="shared" si="30"/>
        <v>4934</v>
      </c>
      <c r="B1015" s="27" t="s">
        <v>2817</v>
      </c>
      <c r="C1015" s="26" t="s">
        <v>1204</v>
      </c>
      <c r="D1015" s="26">
        <v>-101</v>
      </c>
      <c r="E1015" s="26">
        <v>0</v>
      </c>
      <c r="F1015" s="26">
        <v>21.3</v>
      </c>
      <c r="G1015" s="26">
        <v>21.71</v>
      </c>
      <c r="I1015" s="26" t="str">
        <f t="shared" si="31"/>
        <v>-</v>
      </c>
    </row>
    <row r="1016" spans="1:9" x14ac:dyDescent="0.15">
      <c r="A1016" s="26">
        <f t="shared" si="30"/>
        <v>4935</v>
      </c>
      <c r="B1016" s="27" t="s">
        <v>2818</v>
      </c>
      <c r="C1016" s="26" t="s">
        <v>1205</v>
      </c>
      <c r="D1016" s="26">
        <v>-343</v>
      </c>
      <c r="E1016" s="26">
        <v>-22</v>
      </c>
      <c r="F1016" s="26">
        <v>72.5</v>
      </c>
      <c r="G1016" s="26">
        <v>68.08</v>
      </c>
      <c r="I1016" s="26" t="str">
        <f t="shared" si="31"/>
        <v>Y</v>
      </c>
    </row>
    <row r="1017" spans="1:9" x14ac:dyDescent="0.15">
      <c r="A1017" s="26">
        <f t="shared" si="30"/>
        <v>4938</v>
      </c>
      <c r="B1017" s="27" t="s">
        <v>2819</v>
      </c>
      <c r="C1017" s="26" t="s">
        <v>1206</v>
      </c>
      <c r="D1017" s="26">
        <v>426</v>
      </c>
      <c r="E1017" s="26">
        <v>72</v>
      </c>
      <c r="F1017" s="26">
        <v>79.099999999999994</v>
      </c>
      <c r="G1017" s="26">
        <v>79.08</v>
      </c>
      <c r="I1017" s="26" t="str">
        <f t="shared" si="31"/>
        <v>Y</v>
      </c>
    </row>
    <row r="1018" spans="1:9" x14ac:dyDescent="0.15">
      <c r="A1018" s="26">
        <f t="shared" si="30"/>
        <v>4939</v>
      </c>
      <c r="B1018" s="27" t="s">
        <v>2820</v>
      </c>
      <c r="C1018" s="26" t="s">
        <v>1207</v>
      </c>
      <c r="D1018" s="26">
        <v>-3</v>
      </c>
      <c r="E1018" s="26">
        <v>0</v>
      </c>
      <c r="F1018" s="26">
        <v>7.49</v>
      </c>
      <c r="G1018" s="26">
        <v>7.52</v>
      </c>
      <c r="I1018" s="26" t="str">
        <f t="shared" si="31"/>
        <v>-</v>
      </c>
    </row>
    <row r="1019" spans="1:9" x14ac:dyDescent="0.15">
      <c r="A1019" s="26">
        <f t="shared" si="30"/>
        <v>4942</v>
      </c>
      <c r="B1019" s="27" t="s">
        <v>2821</v>
      </c>
      <c r="C1019" s="26" t="s">
        <v>1208</v>
      </c>
      <c r="D1019" s="26">
        <v>8</v>
      </c>
      <c r="E1019" s="26">
        <v>0</v>
      </c>
      <c r="F1019" s="26">
        <v>20.75</v>
      </c>
      <c r="G1019" s="26">
        <v>20.18</v>
      </c>
      <c r="I1019" s="26" t="str">
        <f t="shared" si="31"/>
        <v>Y</v>
      </c>
    </row>
    <row r="1020" spans="1:9" x14ac:dyDescent="0.15">
      <c r="A1020" s="26">
        <f t="shared" si="30"/>
        <v>4944</v>
      </c>
      <c r="B1020" s="27" t="s">
        <v>2822</v>
      </c>
      <c r="C1020" s="26" t="s">
        <v>1209</v>
      </c>
      <c r="D1020" s="26">
        <v>43</v>
      </c>
      <c r="E1020" s="26">
        <v>0</v>
      </c>
      <c r="F1020" s="26">
        <v>11.4</v>
      </c>
      <c r="G1020" s="26">
        <v>11.02</v>
      </c>
      <c r="I1020" s="26" t="str">
        <f t="shared" si="31"/>
        <v>Y</v>
      </c>
    </row>
    <row r="1021" spans="1:9" x14ac:dyDescent="0.15">
      <c r="A1021" s="26">
        <f t="shared" si="30"/>
        <v>4946</v>
      </c>
      <c r="B1021" s="27" t="s">
        <v>2823</v>
      </c>
      <c r="C1021" s="26" t="s">
        <v>1210</v>
      </c>
      <c r="D1021" s="26">
        <v>3</v>
      </c>
      <c r="E1021" s="26">
        <v>0</v>
      </c>
      <c r="F1021" s="26">
        <v>32.5</v>
      </c>
      <c r="G1021" s="26">
        <v>32.659999999999997</v>
      </c>
      <c r="I1021" s="26" t="str">
        <f t="shared" si="31"/>
        <v>-</v>
      </c>
    </row>
    <row r="1022" spans="1:9" x14ac:dyDescent="0.15">
      <c r="A1022" s="26">
        <f t="shared" si="30"/>
        <v>4947</v>
      </c>
      <c r="B1022" s="27" t="s">
        <v>2824</v>
      </c>
      <c r="C1022" s="26" t="s">
        <v>1211</v>
      </c>
      <c r="D1022" s="26">
        <v>57</v>
      </c>
      <c r="E1022" s="26">
        <v>0</v>
      </c>
      <c r="F1022" s="26">
        <v>209.5</v>
      </c>
      <c r="G1022" s="26">
        <v>211.75</v>
      </c>
      <c r="I1022" s="26" t="str">
        <f t="shared" si="31"/>
        <v>-</v>
      </c>
    </row>
    <row r="1023" spans="1:9" x14ac:dyDescent="0.15">
      <c r="A1023" s="26">
        <f t="shared" si="30"/>
        <v>4950</v>
      </c>
      <c r="B1023" s="27" t="s">
        <v>2825</v>
      </c>
      <c r="C1023" s="26" t="s">
        <v>1212</v>
      </c>
      <c r="D1023" s="26">
        <v>0</v>
      </c>
      <c r="E1023" s="26">
        <v>0</v>
      </c>
      <c r="F1023" s="26">
        <v>18.5</v>
      </c>
      <c r="G1023" s="26">
        <v>17.68</v>
      </c>
      <c r="I1023" s="26" t="str">
        <f t="shared" si="31"/>
        <v>Y</v>
      </c>
    </row>
    <row r="1024" spans="1:9" x14ac:dyDescent="0.15">
      <c r="A1024" s="26">
        <f t="shared" si="30"/>
        <v>4952</v>
      </c>
      <c r="B1024" s="27" t="s">
        <v>2826</v>
      </c>
      <c r="C1024" s="26" t="s">
        <v>1213</v>
      </c>
      <c r="D1024" s="26">
        <v>14</v>
      </c>
      <c r="E1024" s="26">
        <v>-6</v>
      </c>
      <c r="F1024" s="26">
        <v>39.75</v>
      </c>
      <c r="G1024" s="26">
        <v>39.08</v>
      </c>
      <c r="I1024" s="26" t="str">
        <f t="shared" si="31"/>
        <v>Y</v>
      </c>
    </row>
    <row r="1025" spans="1:9" x14ac:dyDescent="0.15">
      <c r="A1025" s="26">
        <f t="shared" si="30"/>
        <v>4953</v>
      </c>
      <c r="B1025" s="27" t="s">
        <v>2827</v>
      </c>
      <c r="C1025" s="26" t="s">
        <v>1214</v>
      </c>
      <c r="D1025" s="26">
        <v>0</v>
      </c>
      <c r="E1025" s="26">
        <v>0</v>
      </c>
      <c r="F1025" s="26">
        <v>22.05</v>
      </c>
      <c r="G1025" s="26">
        <v>21.33</v>
      </c>
      <c r="I1025" s="26" t="str">
        <f t="shared" si="31"/>
        <v>Y</v>
      </c>
    </row>
    <row r="1026" spans="1:9" x14ac:dyDescent="0.15">
      <c r="A1026" s="26">
        <f t="shared" si="30"/>
        <v>4956</v>
      </c>
      <c r="B1026" s="27" t="s">
        <v>2828</v>
      </c>
      <c r="C1026" s="26" t="s">
        <v>1215</v>
      </c>
      <c r="D1026" s="26">
        <v>11</v>
      </c>
      <c r="E1026" s="26">
        <v>0</v>
      </c>
      <c r="F1026" s="26">
        <v>13.15</v>
      </c>
      <c r="G1026" s="26">
        <v>12.67</v>
      </c>
      <c r="I1026" s="26" t="str">
        <f t="shared" si="31"/>
        <v>Y</v>
      </c>
    </row>
    <row r="1027" spans="1:9" x14ac:dyDescent="0.15">
      <c r="A1027" s="26">
        <f t="shared" si="30"/>
        <v>4958</v>
      </c>
      <c r="B1027" s="27" t="s">
        <v>2829</v>
      </c>
      <c r="C1027" s="26" t="s">
        <v>1216</v>
      </c>
      <c r="D1027" s="26">
        <v>-345</v>
      </c>
      <c r="E1027" s="26">
        <v>618</v>
      </c>
      <c r="F1027" s="26">
        <v>79.099999999999994</v>
      </c>
      <c r="G1027" s="26">
        <v>74.19</v>
      </c>
      <c r="I1027" s="26" t="str">
        <f t="shared" si="31"/>
        <v>Y</v>
      </c>
    </row>
    <row r="1028" spans="1:9" x14ac:dyDescent="0.15">
      <c r="A1028" s="26">
        <f t="shared" si="30"/>
        <v>4960</v>
      </c>
      <c r="B1028" s="27" t="s">
        <v>2830</v>
      </c>
      <c r="C1028" s="26" t="s">
        <v>1217</v>
      </c>
      <c r="D1028" s="26">
        <v>-321</v>
      </c>
      <c r="E1028" s="26">
        <v>0</v>
      </c>
      <c r="F1028" s="26">
        <v>21.6</v>
      </c>
      <c r="G1028" s="26">
        <v>20.25</v>
      </c>
      <c r="I1028" s="26" t="str">
        <f t="shared" si="31"/>
        <v>Y</v>
      </c>
    </row>
    <row r="1029" spans="1:9" x14ac:dyDescent="0.15">
      <c r="A1029" s="26">
        <f t="shared" si="30"/>
        <v>4965</v>
      </c>
      <c r="B1029" s="27" t="s">
        <v>2831</v>
      </c>
      <c r="C1029" s="26" t="s">
        <v>1218</v>
      </c>
      <c r="D1029" s="26">
        <v>2</v>
      </c>
      <c r="E1029" s="26">
        <v>0</v>
      </c>
      <c r="F1029" s="26">
        <v>115</v>
      </c>
      <c r="G1029" s="26">
        <v>110.58</v>
      </c>
      <c r="I1029" s="26" t="str">
        <f t="shared" si="31"/>
        <v>Y</v>
      </c>
    </row>
    <row r="1030" spans="1:9" x14ac:dyDescent="0.15">
      <c r="A1030" s="26">
        <f t="shared" si="30"/>
        <v>4966</v>
      </c>
      <c r="B1030" s="27" t="s">
        <v>2832</v>
      </c>
      <c r="C1030" s="26" t="s">
        <v>1219</v>
      </c>
      <c r="D1030" s="26">
        <v>-25</v>
      </c>
      <c r="E1030" s="26">
        <v>-24</v>
      </c>
      <c r="F1030" s="26">
        <v>301.5</v>
      </c>
      <c r="G1030" s="26">
        <v>305.04000000000002</v>
      </c>
      <c r="I1030" s="26" t="str">
        <f t="shared" si="31"/>
        <v>-</v>
      </c>
    </row>
    <row r="1031" spans="1:9" x14ac:dyDescent="0.15">
      <c r="A1031" s="26">
        <f t="shared" ref="A1031:A1094" si="32">VALUE(B1031)</f>
        <v>4968</v>
      </c>
      <c r="B1031" s="27" t="s">
        <v>2833</v>
      </c>
      <c r="C1031" s="26" t="s">
        <v>1220</v>
      </c>
      <c r="D1031" s="26">
        <v>-8</v>
      </c>
      <c r="E1031" s="26">
        <v>-34</v>
      </c>
      <c r="F1031" s="26">
        <v>87</v>
      </c>
      <c r="G1031" s="26">
        <v>84.01</v>
      </c>
      <c r="I1031" s="26" t="str">
        <f t="shared" ref="I1031:I1094" si="33">IF(F1031&gt;G1031,"Y","-")</f>
        <v>Y</v>
      </c>
    </row>
    <row r="1032" spans="1:9" x14ac:dyDescent="0.15">
      <c r="A1032" s="26">
        <f t="shared" si="32"/>
        <v>4971</v>
      </c>
      <c r="B1032" s="27" t="s">
        <v>2834</v>
      </c>
      <c r="C1032" s="26" t="s">
        <v>1221</v>
      </c>
      <c r="D1032" s="26">
        <v>14</v>
      </c>
      <c r="E1032" s="26">
        <v>0</v>
      </c>
      <c r="F1032" s="26">
        <v>138</v>
      </c>
      <c r="G1032" s="26">
        <v>138.88</v>
      </c>
      <c r="I1032" s="26" t="str">
        <f t="shared" si="33"/>
        <v>-</v>
      </c>
    </row>
    <row r="1033" spans="1:9" x14ac:dyDescent="0.15">
      <c r="A1033" s="26">
        <f t="shared" si="32"/>
        <v>4972</v>
      </c>
      <c r="B1033" s="27" t="s">
        <v>2835</v>
      </c>
      <c r="C1033" s="26" t="s">
        <v>1222</v>
      </c>
      <c r="D1033" s="26">
        <v>-10</v>
      </c>
      <c r="E1033" s="26">
        <v>0</v>
      </c>
      <c r="F1033" s="26">
        <v>41.1</v>
      </c>
      <c r="G1033" s="26">
        <v>38.950000000000003</v>
      </c>
      <c r="I1033" s="26" t="str">
        <f t="shared" si="33"/>
        <v>Y</v>
      </c>
    </row>
    <row r="1034" spans="1:9" x14ac:dyDescent="0.15">
      <c r="A1034" s="26">
        <f t="shared" si="32"/>
        <v>4973</v>
      </c>
      <c r="B1034" s="27" t="s">
        <v>2836</v>
      </c>
      <c r="C1034" s="26" t="s">
        <v>1223</v>
      </c>
      <c r="D1034" s="26">
        <v>-1</v>
      </c>
      <c r="E1034" s="26">
        <v>0</v>
      </c>
      <c r="F1034" s="26">
        <v>15.5</v>
      </c>
      <c r="G1034" s="26">
        <v>15.2</v>
      </c>
      <c r="I1034" s="26" t="str">
        <f t="shared" si="33"/>
        <v>Y</v>
      </c>
    </row>
    <row r="1035" spans="1:9" x14ac:dyDescent="0.15">
      <c r="A1035" s="26">
        <f t="shared" si="32"/>
        <v>4974</v>
      </c>
      <c r="B1035" s="27" t="s">
        <v>2837</v>
      </c>
      <c r="C1035" s="26" t="s">
        <v>1224</v>
      </c>
      <c r="D1035" s="26">
        <v>-2</v>
      </c>
      <c r="E1035" s="26">
        <v>0</v>
      </c>
      <c r="F1035" s="26">
        <v>37.25</v>
      </c>
      <c r="G1035" s="26">
        <v>36.380000000000003</v>
      </c>
      <c r="I1035" s="26" t="str">
        <f t="shared" si="33"/>
        <v>Y</v>
      </c>
    </row>
    <row r="1036" spans="1:9" x14ac:dyDescent="0.15">
      <c r="A1036" s="26">
        <f t="shared" si="32"/>
        <v>4976</v>
      </c>
      <c r="B1036" s="27" t="s">
        <v>2838</v>
      </c>
      <c r="C1036" s="26" t="s">
        <v>1225</v>
      </c>
      <c r="D1036" s="26">
        <v>0</v>
      </c>
      <c r="E1036" s="26">
        <v>0</v>
      </c>
      <c r="F1036" s="26">
        <v>16.55</v>
      </c>
      <c r="G1036" s="26">
        <v>16.48</v>
      </c>
      <c r="I1036" s="26" t="str">
        <f t="shared" si="33"/>
        <v>Y</v>
      </c>
    </row>
    <row r="1037" spans="1:9" x14ac:dyDescent="0.15">
      <c r="A1037" s="26">
        <f t="shared" si="32"/>
        <v>4977</v>
      </c>
      <c r="B1037" s="27" t="s">
        <v>2839</v>
      </c>
      <c r="C1037" s="26" t="s">
        <v>1226</v>
      </c>
      <c r="D1037" s="26">
        <v>205</v>
      </c>
      <c r="E1037" s="26">
        <v>0</v>
      </c>
      <c r="F1037" s="26">
        <v>65.5</v>
      </c>
      <c r="G1037" s="26">
        <v>61.2</v>
      </c>
      <c r="I1037" s="26" t="str">
        <f t="shared" si="33"/>
        <v>Y</v>
      </c>
    </row>
    <row r="1038" spans="1:9" x14ac:dyDescent="0.15">
      <c r="A1038" s="26">
        <f t="shared" si="32"/>
        <v>4979</v>
      </c>
      <c r="B1038" s="27" t="s">
        <v>2840</v>
      </c>
      <c r="C1038" s="26" t="s">
        <v>1227</v>
      </c>
      <c r="D1038" s="26">
        <v>-328</v>
      </c>
      <c r="E1038" s="26">
        <v>-236</v>
      </c>
      <c r="F1038" s="26">
        <v>77.099999999999994</v>
      </c>
      <c r="G1038" s="26">
        <v>78.11</v>
      </c>
      <c r="I1038" s="26" t="str">
        <f t="shared" si="33"/>
        <v>-</v>
      </c>
    </row>
    <row r="1039" spans="1:9" x14ac:dyDescent="0.15">
      <c r="A1039" s="26">
        <f t="shared" si="32"/>
        <v>4984</v>
      </c>
      <c r="B1039" s="27" t="s">
        <v>2841</v>
      </c>
      <c r="C1039" s="26" t="s">
        <v>1228</v>
      </c>
      <c r="D1039" s="26">
        <v>5</v>
      </c>
      <c r="E1039" s="26">
        <v>-100</v>
      </c>
      <c r="F1039" s="26">
        <v>51</v>
      </c>
      <c r="G1039" s="26">
        <v>49.5</v>
      </c>
      <c r="I1039" s="26" t="str">
        <f t="shared" si="33"/>
        <v>Y</v>
      </c>
    </row>
    <row r="1040" spans="1:9" x14ac:dyDescent="0.15">
      <c r="A1040" s="26">
        <f t="shared" si="32"/>
        <v>4987</v>
      </c>
      <c r="B1040" s="27" t="s">
        <v>2842</v>
      </c>
      <c r="C1040" s="26" t="s">
        <v>1229</v>
      </c>
      <c r="D1040" s="26">
        <v>0</v>
      </c>
      <c r="E1040" s="26">
        <v>0</v>
      </c>
      <c r="F1040" s="26">
        <v>70</v>
      </c>
      <c r="G1040" s="26">
        <v>69.52</v>
      </c>
      <c r="I1040" s="26" t="str">
        <f t="shared" si="33"/>
        <v>Y</v>
      </c>
    </row>
    <row r="1041" spans="1:9" x14ac:dyDescent="0.15">
      <c r="A1041" s="26">
        <f t="shared" si="32"/>
        <v>4991</v>
      </c>
      <c r="B1041" s="27" t="s">
        <v>2843</v>
      </c>
      <c r="C1041" s="26" t="s">
        <v>1230</v>
      </c>
      <c r="D1041" s="26">
        <v>-595</v>
      </c>
      <c r="E1041" s="26">
        <v>479</v>
      </c>
      <c r="F1041" s="26">
        <v>89.9</v>
      </c>
      <c r="G1041" s="26">
        <v>82.06</v>
      </c>
      <c r="I1041" s="26" t="str">
        <f t="shared" si="33"/>
        <v>Y</v>
      </c>
    </row>
    <row r="1042" spans="1:9" x14ac:dyDescent="0.15">
      <c r="A1042" s="26">
        <f t="shared" si="32"/>
        <v>4994</v>
      </c>
      <c r="B1042" s="27" t="s">
        <v>2844</v>
      </c>
      <c r="C1042" s="26" t="s">
        <v>1231</v>
      </c>
      <c r="D1042" s="26">
        <v>6</v>
      </c>
      <c r="E1042" s="26">
        <v>0</v>
      </c>
      <c r="F1042" s="26">
        <v>75</v>
      </c>
      <c r="G1042" s="26">
        <v>69.069999999999993</v>
      </c>
      <c r="I1042" s="26" t="str">
        <f t="shared" si="33"/>
        <v>Y</v>
      </c>
    </row>
    <row r="1043" spans="1:9" x14ac:dyDescent="0.15">
      <c r="A1043" s="26">
        <f t="shared" si="32"/>
        <v>4995</v>
      </c>
      <c r="B1043" s="27" t="s">
        <v>2845</v>
      </c>
      <c r="C1043" s="26" t="s">
        <v>1232</v>
      </c>
      <c r="D1043" s="26">
        <v>0</v>
      </c>
      <c r="E1043" s="26">
        <v>0</v>
      </c>
      <c r="F1043" s="26">
        <v>39</v>
      </c>
      <c r="G1043" s="26">
        <v>39.549999999999997</v>
      </c>
      <c r="I1043" s="26" t="str">
        <f t="shared" si="33"/>
        <v>-</v>
      </c>
    </row>
    <row r="1044" spans="1:9" x14ac:dyDescent="0.15">
      <c r="A1044" s="26">
        <f t="shared" si="32"/>
        <v>4999</v>
      </c>
      <c r="B1044" s="27" t="s">
        <v>2846</v>
      </c>
      <c r="C1044" s="26" t="s">
        <v>1233</v>
      </c>
      <c r="D1044" s="26">
        <v>28</v>
      </c>
      <c r="E1044" s="26">
        <v>0</v>
      </c>
      <c r="F1044" s="26">
        <v>47</v>
      </c>
      <c r="G1044" s="26">
        <v>43.13</v>
      </c>
      <c r="I1044" s="26" t="str">
        <f t="shared" si="33"/>
        <v>Y</v>
      </c>
    </row>
    <row r="1045" spans="1:9" x14ac:dyDescent="0.15">
      <c r="A1045" s="26">
        <f t="shared" si="32"/>
        <v>5007</v>
      </c>
      <c r="B1045" s="27" t="s">
        <v>2847</v>
      </c>
      <c r="C1045" s="26" t="s">
        <v>1234</v>
      </c>
      <c r="D1045" s="26">
        <v>-8</v>
      </c>
      <c r="E1045" s="26">
        <v>0</v>
      </c>
      <c r="F1045" s="26">
        <v>63.4</v>
      </c>
      <c r="G1045" s="26">
        <v>63.78</v>
      </c>
      <c r="I1045" s="26" t="str">
        <f t="shared" si="33"/>
        <v>-</v>
      </c>
    </row>
    <row r="1046" spans="1:9" x14ac:dyDescent="0.15">
      <c r="A1046" s="26">
        <f t="shared" si="32"/>
        <v>5009</v>
      </c>
      <c r="B1046" s="27" t="s">
        <v>2848</v>
      </c>
      <c r="C1046" s="26" t="s">
        <v>1235</v>
      </c>
      <c r="D1046" s="26">
        <v>654</v>
      </c>
      <c r="E1046" s="26">
        <v>500</v>
      </c>
      <c r="F1046" s="26">
        <v>18.899999999999999</v>
      </c>
      <c r="G1046" s="26">
        <v>18.3</v>
      </c>
      <c r="I1046" s="26" t="str">
        <f t="shared" si="33"/>
        <v>Y</v>
      </c>
    </row>
    <row r="1047" spans="1:9" x14ac:dyDescent="0.15">
      <c r="A1047" s="26">
        <f t="shared" si="32"/>
        <v>5011</v>
      </c>
      <c r="B1047" s="27" t="s">
        <v>2849</v>
      </c>
      <c r="C1047" s="26" t="s">
        <v>1236</v>
      </c>
      <c r="D1047" s="26">
        <v>0</v>
      </c>
      <c r="E1047" s="26">
        <v>0</v>
      </c>
      <c r="F1047" s="26">
        <v>25.2</v>
      </c>
      <c r="G1047" s="26">
        <v>24.58</v>
      </c>
      <c r="I1047" s="26" t="str">
        <f t="shared" si="33"/>
        <v>Y</v>
      </c>
    </row>
    <row r="1048" spans="1:9" x14ac:dyDescent="0.15">
      <c r="A1048" s="26">
        <f t="shared" si="32"/>
        <v>5013</v>
      </c>
      <c r="B1048" s="27" t="s">
        <v>2850</v>
      </c>
      <c r="C1048" s="26" t="s">
        <v>1237</v>
      </c>
      <c r="D1048" s="26">
        <v>0</v>
      </c>
      <c r="E1048" s="26">
        <v>0</v>
      </c>
      <c r="F1048" s="26">
        <v>18</v>
      </c>
      <c r="G1048" s="26">
        <v>17.649999999999999</v>
      </c>
      <c r="I1048" s="26" t="str">
        <f t="shared" si="33"/>
        <v>Y</v>
      </c>
    </row>
    <row r="1049" spans="1:9" x14ac:dyDescent="0.15">
      <c r="A1049" s="26">
        <f t="shared" si="32"/>
        <v>5014</v>
      </c>
      <c r="B1049" s="27" t="s">
        <v>2851</v>
      </c>
      <c r="C1049" s="26" t="s">
        <v>1238</v>
      </c>
      <c r="D1049" s="26">
        <v>0</v>
      </c>
      <c r="E1049" s="26">
        <v>0</v>
      </c>
      <c r="F1049" s="26">
        <v>7.4</v>
      </c>
      <c r="G1049" s="26">
        <v>7.27</v>
      </c>
      <c r="I1049" s="26" t="str">
        <f t="shared" si="33"/>
        <v>Y</v>
      </c>
    </row>
    <row r="1050" spans="1:9" x14ac:dyDescent="0.15">
      <c r="A1050" s="26">
        <f t="shared" si="32"/>
        <v>5015</v>
      </c>
      <c r="B1050" s="27" t="s">
        <v>2852</v>
      </c>
      <c r="C1050" s="26" t="s">
        <v>1239</v>
      </c>
      <c r="D1050" s="26">
        <v>0</v>
      </c>
      <c r="E1050" s="26">
        <v>0</v>
      </c>
      <c r="F1050" s="26">
        <v>19.95</v>
      </c>
      <c r="G1050" s="26">
        <v>18.88</v>
      </c>
      <c r="I1050" s="26" t="str">
        <f t="shared" si="33"/>
        <v>Y</v>
      </c>
    </row>
    <row r="1051" spans="1:9" x14ac:dyDescent="0.15">
      <c r="A1051" s="26">
        <f t="shared" si="32"/>
        <v>5016</v>
      </c>
      <c r="B1051" s="27" t="s">
        <v>2853</v>
      </c>
      <c r="C1051" s="26" t="s">
        <v>1240</v>
      </c>
      <c r="D1051" s="26">
        <v>0</v>
      </c>
      <c r="E1051" s="26">
        <v>0</v>
      </c>
      <c r="F1051" s="26">
        <v>24</v>
      </c>
      <c r="G1051" s="26">
        <v>24.17</v>
      </c>
      <c r="I1051" s="26" t="str">
        <f t="shared" si="33"/>
        <v>-</v>
      </c>
    </row>
    <row r="1052" spans="1:9" x14ac:dyDescent="0.15">
      <c r="A1052" s="26">
        <f t="shared" si="32"/>
        <v>5102</v>
      </c>
      <c r="B1052" s="27" t="s">
        <v>2854</v>
      </c>
      <c r="C1052" s="26" t="s">
        <v>1241</v>
      </c>
      <c r="D1052" s="26">
        <v>0</v>
      </c>
      <c r="E1052" s="26">
        <v>0</v>
      </c>
      <c r="F1052" s="26">
        <v>14.35</v>
      </c>
      <c r="G1052" s="26">
        <v>14.33</v>
      </c>
      <c r="I1052" s="26" t="str">
        <f t="shared" si="33"/>
        <v>Y</v>
      </c>
    </row>
    <row r="1053" spans="1:9" x14ac:dyDescent="0.15">
      <c r="A1053" s="26">
        <f t="shared" si="32"/>
        <v>5201</v>
      </c>
      <c r="B1053" s="27" t="s">
        <v>2855</v>
      </c>
      <c r="C1053" s="26" t="s">
        <v>1242</v>
      </c>
      <c r="D1053" s="26">
        <v>0</v>
      </c>
      <c r="E1053" s="26">
        <v>0</v>
      </c>
      <c r="F1053" s="26">
        <v>12.5</v>
      </c>
      <c r="G1053" s="26">
        <v>12.49</v>
      </c>
      <c r="I1053" s="26" t="str">
        <f t="shared" si="33"/>
        <v>Y</v>
      </c>
    </row>
    <row r="1054" spans="1:9" x14ac:dyDescent="0.15">
      <c r="A1054" s="26">
        <f t="shared" si="32"/>
        <v>5202</v>
      </c>
      <c r="B1054" s="27" t="s">
        <v>2856</v>
      </c>
      <c r="C1054" s="26" t="s">
        <v>1243</v>
      </c>
      <c r="D1054" s="26">
        <v>-8</v>
      </c>
      <c r="E1054" s="26">
        <v>0</v>
      </c>
      <c r="F1054" s="26">
        <v>15.6</v>
      </c>
      <c r="G1054" s="26">
        <v>15.25</v>
      </c>
      <c r="I1054" s="26" t="str">
        <f t="shared" si="33"/>
        <v>Y</v>
      </c>
    </row>
    <row r="1055" spans="1:9" x14ac:dyDescent="0.15">
      <c r="A1055" s="26">
        <f t="shared" si="32"/>
        <v>5203</v>
      </c>
      <c r="B1055" s="27" t="s">
        <v>2857</v>
      </c>
      <c r="C1055" s="26" t="s">
        <v>1244</v>
      </c>
      <c r="D1055" s="26">
        <v>-5</v>
      </c>
      <c r="E1055" s="26">
        <v>0</v>
      </c>
      <c r="F1055" s="26">
        <v>73.7</v>
      </c>
      <c r="G1055" s="26">
        <v>73.88</v>
      </c>
      <c r="I1055" s="26" t="str">
        <f t="shared" si="33"/>
        <v>-</v>
      </c>
    </row>
    <row r="1056" spans="1:9" x14ac:dyDescent="0.15">
      <c r="A1056" s="26">
        <f t="shared" si="32"/>
        <v>5205</v>
      </c>
      <c r="B1056" s="27" t="s">
        <v>2858</v>
      </c>
      <c r="C1056" s="26" t="s">
        <v>1245</v>
      </c>
      <c r="D1056" s="26">
        <v>0</v>
      </c>
      <c r="E1056" s="26">
        <v>0</v>
      </c>
      <c r="F1056" s="26">
        <v>9.49</v>
      </c>
      <c r="G1056" s="26">
        <v>10.039999999999999</v>
      </c>
      <c r="I1056" s="26" t="str">
        <f t="shared" si="33"/>
        <v>-</v>
      </c>
    </row>
    <row r="1057" spans="1:9" x14ac:dyDescent="0.15">
      <c r="A1057" s="26">
        <f t="shared" si="32"/>
        <v>5206</v>
      </c>
      <c r="B1057" s="27" t="s">
        <v>2859</v>
      </c>
      <c r="C1057" s="26" t="s">
        <v>1246</v>
      </c>
      <c r="D1057" s="26">
        <v>-1</v>
      </c>
      <c r="E1057" s="26">
        <v>0</v>
      </c>
      <c r="F1057" s="26">
        <v>10.9</v>
      </c>
      <c r="G1057" s="26">
        <v>10.07</v>
      </c>
      <c r="I1057" s="26" t="str">
        <f t="shared" si="33"/>
        <v>Y</v>
      </c>
    </row>
    <row r="1058" spans="1:9" x14ac:dyDescent="0.15">
      <c r="A1058" s="26">
        <f t="shared" si="32"/>
        <v>5209</v>
      </c>
      <c r="B1058" s="27" t="s">
        <v>2860</v>
      </c>
      <c r="C1058" s="26" t="s">
        <v>1247</v>
      </c>
      <c r="D1058" s="26">
        <v>-1</v>
      </c>
      <c r="E1058" s="26">
        <v>0</v>
      </c>
      <c r="F1058" s="26">
        <v>44.2</v>
      </c>
      <c r="G1058" s="26">
        <v>42.45</v>
      </c>
      <c r="I1058" s="26" t="str">
        <f t="shared" si="33"/>
        <v>Y</v>
      </c>
    </row>
    <row r="1059" spans="1:9" x14ac:dyDescent="0.15">
      <c r="A1059" s="26">
        <f t="shared" si="32"/>
        <v>5210</v>
      </c>
      <c r="B1059" s="27" t="s">
        <v>2861</v>
      </c>
      <c r="C1059" s="26" t="s">
        <v>1248</v>
      </c>
      <c r="D1059" s="26">
        <v>0</v>
      </c>
      <c r="E1059" s="26">
        <v>0</v>
      </c>
      <c r="F1059" s="26">
        <v>6.37</v>
      </c>
      <c r="G1059" s="26">
        <v>6.28</v>
      </c>
      <c r="I1059" s="26" t="str">
        <f t="shared" si="33"/>
        <v>Y</v>
      </c>
    </row>
    <row r="1060" spans="1:9" x14ac:dyDescent="0.15">
      <c r="A1060" s="26">
        <f t="shared" si="32"/>
        <v>5211</v>
      </c>
      <c r="B1060" s="27" t="s">
        <v>2862</v>
      </c>
      <c r="C1060" s="26" t="s">
        <v>1249</v>
      </c>
      <c r="D1060" s="26">
        <v>0</v>
      </c>
      <c r="E1060" s="26">
        <v>0</v>
      </c>
      <c r="F1060" s="26">
        <v>23.1</v>
      </c>
      <c r="G1060" s="26">
        <v>22.62</v>
      </c>
      <c r="I1060" s="26" t="str">
        <f t="shared" si="33"/>
        <v>Y</v>
      </c>
    </row>
    <row r="1061" spans="1:9" x14ac:dyDescent="0.15">
      <c r="A1061" s="26">
        <f t="shared" si="32"/>
        <v>5212</v>
      </c>
      <c r="B1061" s="27" t="s">
        <v>2863</v>
      </c>
      <c r="C1061" s="26" t="s">
        <v>1250</v>
      </c>
      <c r="D1061" s="26">
        <v>23</v>
      </c>
      <c r="E1061" s="26">
        <v>0</v>
      </c>
      <c r="F1061" s="26">
        <v>19.850000000000001</v>
      </c>
      <c r="G1061" s="26">
        <v>19.37</v>
      </c>
      <c r="I1061" s="26" t="str">
        <f t="shared" si="33"/>
        <v>Y</v>
      </c>
    </row>
    <row r="1062" spans="1:9" x14ac:dyDescent="0.15">
      <c r="A1062" s="26">
        <f t="shared" si="32"/>
        <v>5213</v>
      </c>
      <c r="B1062" s="27" t="s">
        <v>2864</v>
      </c>
      <c r="C1062" s="26" t="s">
        <v>1251</v>
      </c>
      <c r="D1062" s="26">
        <v>-15</v>
      </c>
      <c r="E1062" s="26">
        <v>0</v>
      </c>
      <c r="F1062" s="26">
        <v>14.85</v>
      </c>
      <c r="G1062" s="26">
        <v>14.46</v>
      </c>
      <c r="I1062" s="26" t="str">
        <f t="shared" si="33"/>
        <v>Y</v>
      </c>
    </row>
    <row r="1063" spans="1:9" x14ac:dyDescent="0.15">
      <c r="A1063" s="26">
        <f t="shared" si="32"/>
        <v>5215</v>
      </c>
      <c r="B1063" s="27" t="s">
        <v>2865</v>
      </c>
      <c r="C1063" s="26" t="s">
        <v>1252</v>
      </c>
      <c r="D1063" s="26">
        <v>-11</v>
      </c>
      <c r="E1063" s="26">
        <v>0</v>
      </c>
      <c r="F1063" s="26">
        <v>40.15</v>
      </c>
      <c r="G1063" s="26">
        <v>39.5</v>
      </c>
      <c r="I1063" s="26" t="str">
        <f t="shared" si="33"/>
        <v>Y</v>
      </c>
    </row>
    <row r="1064" spans="1:9" x14ac:dyDescent="0.15">
      <c r="A1064" s="26">
        <f t="shared" si="32"/>
        <v>5225</v>
      </c>
      <c r="B1064" s="27" t="s">
        <v>2866</v>
      </c>
      <c r="C1064" s="26" t="s">
        <v>1253</v>
      </c>
      <c r="D1064" s="26">
        <v>-9</v>
      </c>
      <c r="E1064" s="26">
        <v>0</v>
      </c>
      <c r="F1064" s="26">
        <v>47.95</v>
      </c>
      <c r="G1064" s="26">
        <v>47.63</v>
      </c>
      <c r="I1064" s="26" t="str">
        <f t="shared" si="33"/>
        <v>Y</v>
      </c>
    </row>
    <row r="1065" spans="1:9" x14ac:dyDescent="0.15">
      <c r="A1065" s="26">
        <f t="shared" si="32"/>
        <v>5227</v>
      </c>
      <c r="B1065" s="27" t="s">
        <v>2867</v>
      </c>
      <c r="C1065" s="26" t="s">
        <v>1254</v>
      </c>
      <c r="D1065" s="26">
        <v>-3</v>
      </c>
      <c r="E1065" s="26">
        <v>0</v>
      </c>
      <c r="F1065" s="26">
        <v>29.6</v>
      </c>
      <c r="G1065" s="26">
        <v>29.25</v>
      </c>
      <c r="I1065" s="26" t="str">
        <f t="shared" si="33"/>
        <v>Y</v>
      </c>
    </row>
    <row r="1066" spans="1:9" x14ac:dyDescent="0.15">
      <c r="A1066" s="26">
        <f t="shared" si="32"/>
        <v>5230</v>
      </c>
      <c r="B1066" s="27" t="s">
        <v>2868</v>
      </c>
      <c r="C1066" s="26" t="s">
        <v>1255</v>
      </c>
      <c r="D1066" s="26">
        <v>-6</v>
      </c>
      <c r="E1066" s="26">
        <v>0</v>
      </c>
      <c r="F1066" s="26">
        <v>47</v>
      </c>
      <c r="G1066" s="26">
        <v>46.03</v>
      </c>
      <c r="I1066" s="26" t="str">
        <f t="shared" si="33"/>
        <v>Y</v>
      </c>
    </row>
    <row r="1067" spans="1:9" x14ac:dyDescent="0.15">
      <c r="A1067" s="26">
        <f t="shared" si="32"/>
        <v>5234</v>
      </c>
      <c r="B1067" s="27" t="s">
        <v>2869</v>
      </c>
      <c r="C1067" s="26" t="s">
        <v>1256</v>
      </c>
      <c r="D1067" s="26">
        <v>0</v>
      </c>
      <c r="E1067" s="26">
        <v>0</v>
      </c>
      <c r="F1067" s="26">
        <v>31.7</v>
      </c>
      <c r="G1067" s="26">
        <v>31.2</v>
      </c>
      <c r="I1067" s="26" t="str">
        <f t="shared" si="33"/>
        <v>Y</v>
      </c>
    </row>
    <row r="1068" spans="1:9" x14ac:dyDescent="0.15">
      <c r="A1068" s="26">
        <f t="shared" si="32"/>
        <v>5243</v>
      </c>
      <c r="B1068" s="27" t="s">
        <v>2870</v>
      </c>
      <c r="C1068" s="26" t="s">
        <v>1257</v>
      </c>
      <c r="D1068" s="26">
        <v>-99</v>
      </c>
      <c r="E1068" s="26">
        <v>0</v>
      </c>
      <c r="F1068" s="26">
        <v>32.9</v>
      </c>
      <c r="G1068" s="26">
        <v>29.82</v>
      </c>
      <c r="I1068" s="26" t="str">
        <f t="shared" si="33"/>
        <v>Y</v>
      </c>
    </row>
    <row r="1069" spans="1:9" x14ac:dyDescent="0.15">
      <c r="A1069" s="26">
        <f t="shared" si="32"/>
        <v>5245</v>
      </c>
      <c r="B1069" s="27" t="s">
        <v>2871</v>
      </c>
      <c r="C1069" s="26" t="s">
        <v>1258</v>
      </c>
      <c r="D1069" s="26">
        <v>-1</v>
      </c>
      <c r="E1069" s="26">
        <v>0</v>
      </c>
      <c r="F1069" s="26">
        <v>187.5</v>
      </c>
      <c r="G1069" s="26">
        <v>174.33</v>
      </c>
      <c r="I1069" s="26" t="str">
        <f t="shared" si="33"/>
        <v>Y</v>
      </c>
    </row>
    <row r="1070" spans="1:9" x14ac:dyDescent="0.15">
      <c r="A1070" s="26">
        <f t="shared" si="32"/>
        <v>5251</v>
      </c>
      <c r="B1070" s="27" t="s">
        <v>2872</v>
      </c>
      <c r="C1070" s="26" t="s">
        <v>1259</v>
      </c>
      <c r="D1070" s="26">
        <v>1</v>
      </c>
      <c r="E1070" s="26">
        <v>0</v>
      </c>
      <c r="F1070" s="26">
        <v>31</v>
      </c>
      <c r="G1070" s="26">
        <v>30.3</v>
      </c>
      <c r="I1070" s="26" t="str">
        <f t="shared" si="33"/>
        <v>Y</v>
      </c>
    </row>
    <row r="1071" spans="1:9" x14ac:dyDescent="0.15">
      <c r="A1071" s="26">
        <f t="shared" si="32"/>
        <v>5255</v>
      </c>
      <c r="B1071" s="27" t="s">
        <v>2873</v>
      </c>
      <c r="C1071" s="26" t="s">
        <v>1260</v>
      </c>
      <c r="D1071" s="26">
        <v>-1</v>
      </c>
      <c r="E1071" s="26">
        <v>0</v>
      </c>
      <c r="F1071" s="26">
        <v>15.8</v>
      </c>
      <c r="G1071" s="26">
        <v>15.43</v>
      </c>
      <c r="I1071" s="26" t="str">
        <f t="shared" si="33"/>
        <v>Y</v>
      </c>
    </row>
    <row r="1072" spans="1:9" x14ac:dyDescent="0.15">
      <c r="A1072" s="26">
        <f t="shared" si="32"/>
        <v>5259</v>
      </c>
      <c r="B1072" s="27" t="s">
        <v>2874</v>
      </c>
      <c r="C1072" s="26" t="s">
        <v>1261</v>
      </c>
      <c r="D1072" s="26">
        <v>50</v>
      </c>
      <c r="E1072" s="26">
        <v>0</v>
      </c>
      <c r="F1072" s="26">
        <v>6.12</v>
      </c>
      <c r="G1072" s="26">
        <v>5.95</v>
      </c>
      <c r="I1072" s="26" t="str">
        <f t="shared" si="33"/>
        <v>Y</v>
      </c>
    </row>
    <row r="1073" spans="1:9" x14ac:dyDescent="0.15">
      <c r="A1073" s="26">
        <f t="shared" si="32"/>
        <v>5263</v>
      </c>
      <c r="B1073" s="27" t="s">
        <v>2875</v>
      </c>
      <c r="C1073" s="26" t="s">
        <v>1262</v>
      </c>
      <c r="D1073" s="26">
        <v>-15</v>
      </c>
      <c r="E1073" s="26">
        <v>0</v>
      </c>
      <c r="F1073" s="26">
        <v>292.5</v>
      </c>
      <c r="G1073" s="26">
        <v>284.38</v>
      </c>
      <c r="I1073" s="26" t="str">
        <f t="shared" si="33"/>
        <v>Y</v>
      </c>
    </row>
    <row r="1074" spans="1:9" x14ac:dyDescent="0.15">
      <c r="A1074" s="26">
        <f t="shared" si="32"/>
        <v>5264</v>
      </c>
      <c r="B1074" s="27" t="s">
        <v>2876</v>
      </c>
      <c r="C1074" s="26" t="s">
        <v>1263</v>
      </c>
      <c r="D1074" s="26">
        <v>-88</v>
      </c>
      <c r="E1074" s="26">
        <v>0</v>
      </c>
      <c r="F1074" s="26">
        <v>174.5</v>
      </c>
      <c r="G1074" s="26">
        <v>177.33</v>
      </c>
      <c r="I1074" s="26" t="str">
        <f t="shared" si="33"/>
        <v>-</v>
      </c>
    </row>
    <row r="1075" spans="1:9" x14ac:dyDescent="0.15">
      <c r="A1075" s="26">
        <f t="shared" si="32"/>
        <v>5266</v>
      </c>
      <c r="B1075" s="27" t="s">
        <v>2877</v>
      </c>
      <c r="C1075" s="26" t="s">
        <v>1264</v>
      </c>
      <c r="D1075" s="26">
        <v>-1</v>
      </c>
      <c r="E1075" s="26">
        <v>0</v>
      </c>
      <c r="F1075" s="26">
        <v>87.5</v>
      </c>
      <c r="G1075" s="26">
        <v>87.28</v>
      </c>
      <c r="I1075" s="26" t="str">
        <f t="shared" si="33"/>
        <v>Y</v>
      </c>
    </row>
    <row r="1076" spans="1:9" x14ac:dyDescent="0.15">
      <c r="A1076" s="26">
        <f t="shared" si="32"/>
        <v>5269</v>
      </c>
      <c r="B1076" s="27" t="s">
        <v>2878</v>
      </c>
      <c r="C1076" s="26" t="s">
        <v>1265</v>
      </c>
      <c r="D1076" s="26">
        <v>-79</v>
      </c>
      <c r="E1076" s="26">
        <v>0</v>
      </c>
      <c r="F1076" s="26">
        <v>179</v>
      </c>
      <c r="G1076" s="26">
        <v>175.88</v>
      </c>
      <c r="I1076" s="26" t="str">
        <f t="shared" si="33"/>
        <v>Y</v>
      </c>
    </row>
    <row r="1077" spans="1:9" x14ac:dyDescent="0.15">
      <c r="A1077" s="26">
        <f t="shared" si="32"/>
        <v>5272</v>
      </c>
      <c r="B1077" s="27" t="s">
        <v>2879</v>
      </c>
      <c r="C1077" s="26" t="s">
        <v>1266</v>
      </c>
      <c r="D1077" s="26">
        <v>-3</v>
      </c>
      <c r="E1077" s="26">
        <v>0</v>
      </c>
      <c r="F1077" s="26">
        <v>40.5</v>
      </c>
      <c r="G1077" s="26">
        <v>36.5</v>
      </c>
      <c r="I1077" s="26" t="str">
        <f t="shared" si="33"/>
        <v>Y</v>
      </c>
    </row>
    <row r="1078" spans="1:9" x14ac:dyDescent="0.15">
      <c r="A1078" s="26">
        <f t="shared" si="32"/>
        <v>5274</v>
      </c>
      <c r="B1078" s="27" t="s">
        <v>2880</v>
      </c>
      <c r="C1078" s="26" t="s">
        <v>1267</v>
      </c>
      <c r="D1078" s="26">
        <v>31</v>
      </c>
      <c r="E1078" s="26">
        <v>-22</v>
      </c>
      <c r="F1078" s="26">
        <v>356</v>
      </c>
      <c r="G1078" s="26">
        <v>344.5</v>
      </c>
      <c r="I1078" s="26" t="str">
        <f t="shared" si="33"/>
        <v>Y</v>
      </c>
    </row>
    <row r="1079" spans="1:9" x14ac:dyDescent="0.15">
      <c r="A1079" s="26">
        <f t="shared" si="32"/>
        <v>5276</v>
      </c>
      <c r="B1079" s="27" t="s">
        <v>2881</v>
      </c>
      <c r="C1079" s="26" t="s">
        <v>1268</v>
      </c>
      <c r="D1079" s="26">
        <v>8</v>
      </c>
      <c r="E1079" s="26">
        <v>0</v>
      </c>
      <c r="F1079" s="26">
        <v>22.8</v>
      </c>
      <c r="G1079" s="26">
        <v>21.85</v>
      </c>
      <c r="I1079" s="26" t="str">
        <f t="shared" si="33"/>
        <v>Y</v>
      </c>
    </row>
    <row r="1080" spans="1:9" x14ac:dyDescent="0.15">
      <c r="A1080" s="26">
        <f t="shared" si="32"/>
        <v>5278</v>
      </c>
      <c r="B1080" s="27" t="s">
        <v>2882</v>
      </c>
      <c r="C1080" s="26" t="s">
        <v>1269</v>
      </c>
      <c r="D1080" s="26">
        <v>-1</v>
      </c>
      <c r="E1080" s="26">
        <v>0</v>
      </c>
      <c r="F1080" s="26">
        <v>23.05</v>
      </c>
      <c r="G1080" s="26">
        <v>23.46</v>
      </c>
      <c r="I1080" s="26" t="str">
        <f t="shared" si="33"/>
        <v>-</v>
      </c>
    </row>
    <row r="1081" spans="1:9" x14ac:dyDescent="0.15">
      <c r="A1081" s="26">
        <f t="shared" si="32"/>
        <v>5284</v>
      </c>
      <c r="B1081" s="27" t="s">
        <v>2883</v>
      </c>
      <c r="C1081" s="26" t="s">
        <v>1270</v>
      </c>
      <c r="D1081" s="26">
        <v>0</v>
      </c>
      <c r="E1081" s="26">
        <v>0</v>
      </c>
      <c r="F1081" s="26">
        <v>69.400000000000006</v>
      </c>
      <c r="G1081" s="26">
        <v>70.540000000000006</v>
      </c>
      <c r="I1081" s="26" t="str">
        <f t="shared" si="33"/>
        <v>-</v>
      </c>
    </row>
    <row r="1082" spans="1:9" x14ac:dyDescent="0.15">
      <c r="A1082" s="26">
        <f t="shared" si="32"/>
        <v>5285</v>
      </c>
      <c r="B1082" s="27" t="s">
        <v>2884</v>
      </c>
      <c r="C1082" s="26" t="s">
        <v>1271</v>
      </c>
      <c r="D1082" s="26">
        <v>9</v>
      </c>
      <c r="E1082" s="26">
        <v>0</v>
      </c>
      <c r="F1082" s="26">
        <v>31.5</v>
      </c>
      <c r="G1082" s="26">
        <v>28.87</v>
      </c>
      <c r="I1082" s="26" t="str">
        <f t="shared" si="33"/>
        <v>Y</v>
      </c>
    </row>
    <row r="1083" spans="1:9" x14ac:dyDescent="0.15">
      <c r="A1083" s="26">
        <f t="shared" si="32"/>
        <v>5287</v>
      </c>
      <c r="B1083" s="27" t="s">
        <v>2885</v>
      </c>
      <c r="C1083" s="26" t="s">
        <v>1272</v>
      </c>
      <c r="D1083" s="26">
        <v>24</v>
      </c>
      <c r="E1083" s="26">
        <v>0</v>
      </c>
      <c r="F1083" s="26">
        <v>297</v>
      </c>
      <c r="G1083" s="26">
        <v>269.42</v>
      </c>
      <c r="I1083" s="26" t="str">
        <f t="shared" si="33"/>
        <v>Y</v>
      </c>
    </row>
    <row r="1084" spans="1:9" x14ac:dyDescent="0.15">
      <c r="A1084" s="26">
        <f t="shared" si="32"/>
        <v>5288</v>
      </c>
      <c r="B1084" s="27" t="s">
        <v>2886</v>
      </c>
      <c r="C1084" s="26" t="s">
        <v>1273</v>
      </c>
      <c r="D1084" s="26">
        <v>-81</v>
      </c>
      <c r="E1084" s="26">
        <v>-10</v>
      </c>
      <c r="F1084" s="26">
        <v>105</v>
      </c>
      <c r="G1084" s="26">
        <v>105.75</v>
      </c>
      <c r="I1084" s="26" t="str">
        <f t="shared" si="33"/>
        <v>-</v>
      </c>
    </row>
    <row r="1085" spans="1:9" x14ac:dyDescent="0.15">
      <c r="A1085" s="26">
        <f t="shared" si="32"/>
        <v>5289</v>
      </c>
      <c r="B1085" s="27" t="s">
        <v>2887</v>
      </c>
      <c r="C1085" s="26" t="s">
        <v>1274</v>
      </c>
      <c r="D1085" s="26">
        <v>-196</v>
      </c>
      <c r="E1085" s="26">
        <v>120</v>
      </c>
      <c r="F1085" s="26">
        <v>115</v>
      </c>
      <c r="G1085" s="26">
        <v>110.5</v>
      </c>
      <c r="I1085" s="26" t="str">
        <f t="shared" si="33"/>
        <v>Y</v>
      </c>
    </row>
    <row r="1086" spans="1:9" x14ac:dyDescent="0.15">
      <c r="A1086" s="26">
        <f t="shared" si="32"/>
        <v>5291</v>
      </c>
      <c r="B1086" s="27" t="s">
        <v>2888</v>
      </c>
      <c r="C1086" s="26" t="s">
        <v>1275</v>
      </c>
      <c r="D1086" s="26">
        <v>-11</v>
      </c>
      <c r="E1086" s="26">
        <v>0</v>
      </c>
      <c r="F1086" s="26">
        <v>18</v>
      </c>
      <c r="G1086" s="26">
        <v>15.74</v>
      </c>
      <c r="I1086" s="26" t="str">
        <f t="shared" si="33"/>
        <v>Y</v>
      </c>
    </row>
    <row r="1087" spans="1:9" x14ac:dyDescent="0.15">
      <c r="A1087" s="26">
        <f t="shared" si="32"/>
        <v>5301</v>
      </c>
      <c r="B1087" s="27" t="s">
        <v>2889</v>
      </c>
      <c r="C1087" s="26" t="s">
        <v>1276</v>
      </c>
      <c r="D1087" s="26">
        <v>-3</v>
      </c>
      <c r="E1087" s="26">
        <v>0</v>
      </c>
      <c r="F1087" s="26">
        <v>37.65</v>
      </c>
      <c r="G1087" s="26">
        <v>34.049999999999997</v>
      </c>
      <c r="I1087" s="26" t="str">
        <f t="shared" si="33"/>
        <v>Y</v>
      </c>
    </row>
    <row r="1088" spans="1:9" x14ac:dyDescent="0.15">
      <c r="A1088" s="26">
        <f t="shared" si="32"/>
        <v>5302</v>
      </c>
      <c r="B1088" s="27" t="s">
        <v>2890</v>
      </c>
      <c r="C1088" s="26" t="s">
        <v>1277</v>
      </c>
      <c r="D1088" s="26">
        <v>-4</v>
      </c>
      <c r="E1088" s="26">
        <v>0</v>
      </c>
      <c r="F1088" s="26">
        <v>5.52</v>
      </c>
      <c r="G1088" s="26">
        <v>5.31</v>
      </c>
      <c r="I1088" s="26" t="str">
        <f t="shared" si="33"/>
        <v>Y</v>
      </c>
    </row>
    <row r="1089" spans="1:9" x14ac:dyDescent="0.15">
      <c r="A1089" s="26">
        <f t="shared" si="32"/>
        <v>5304</v>
      </c>
      <c r="B1089" s="27" t="s">
        <v>2891</v>
      </c>
      <c r="C1089" s="26" t="s">
        <v>1278</v>
      </c>
      <c r="D1089" s="26">
        <v>0</v>
      </c>
      <c r="E1089" s="26">
        <v>0</v>
      </c>
      <c r="F1089" s="26">
        <v>2.77</v>
      </c>
      <c r="G1089" s="26">
        <v>3.07</v>
      </c>
      <c r="I1089" s="26" t="str">
        <f t="shared" si="33"/>
        <v>-</v>
      </c>
    </row>
    <row r="1090" spans="1:9" x14ac:dyDescent="0.15">
      <c r="A1090" s="26">
        <f t="shared" si="32"/>
        <v>5305</v>
      </c>
      <c r="B1090" s="27" t="s">
        <v>2892</v>
      </c>
      <c r="C1090" s="26" t="s">
        <v>1279</v>
      </c>
      <c r="D1090" s="26">
        <v>-29</v>
      </c>
      <c r="E1090" s="26">
        <v>0</v>
      </c>
      <c r="F1090" s="26">
        <v>22.7</v>
      </c>
      <c r="G1090" s="26">
        <v>22.9</v>
      </c>
      <c r="I1090" s="26" t="str">
        <f t="shared" si="33"/>
        <v>-</v>
      </c>
    </row>
    <row r="1091" spans="1:9" x14ac:dyDescent="0.15">
      <c r="A1091" s="26">
        <f t="shared" si="32"/>
        <v>5306</v>
      </c>
      <c r="B1091" s="27" t="s">
        <v>2893</v>
      </c>
      <c r="C1091" s="26" t="s">
        <v>1280</v>
      </c>
      <c r="D1091" s="26">
        <v>-7</v>
      </c>
      <c r="E1091" s="26">
        <v>-58</v>
      </c>
      <c r="F1091" s="26">
        <v>125</v>
      </c>
      <c r="G1091" s="26">
        <v>126.88</v>
      </c>
      <c r="I1091" s="26" t="str">
        <f t="shared" si="33"/>
        <v>-</v>
      </c>
    </row>
    <row r="1092" spans="1:9" x14ac:dyDescent="0.15">
      <c r="A1092" s="26">
        <f t="shared" si="32"/>
        <v>5309</v>
      </c>
      <c r="B1092" s="27" t="s">
        <v>2894</v>
      </c>
      <c r="C1092" s="26" t="s">
        <v>1281</v>
      </c>
      <c r="D1092" s="26">
        <v>12</v>
      </c>
      <c r="E1092" s="26">
        <v>0</v>
      </c>
      <c r="F1092" s="26">
        <v>18.8</v>
      </c>
      <c r="G1092" s="26">
        <v>17.920000000000002</v>
      </c>
      <c r="I1092" s="26" t="str">
        <f t="shared" si="33"/>
        <v>Y</v>
      </c>
    </row>
    <row r="1093" spans="1:9" x14ac:dyDescent="0.15">
      <c r="A1093" s="26">
        <f t="shared" si="32"/>
        <v>5310</v>
      </c>
      <c r="B1093" s="27" t="s">
        <v>2895</v>
      </c>
      <c r="C1093" s="26" t="s">
        <v>1282</v>
      </c>
      <c r="D1093" s="26">
        <v>-1</v>
      </c>
      <c r="E1093" s="26">
        <v>0</v>
      </c>
      <c r="F1093" s="26">
        <v>27.4</v>
      </c>
      <c r="G1093" s="26">
        <v>27.47</v>
      </c>
      <c r="I1093" s="26" t="str">
        <f t="shared" si="33"/>
        <v>-</v>
      </c>
    </row>
    <row r="1094" spans="1:9" x14ac:dyDescent="0.15">
      <c r="A1094" s="26">
        <f t="shared" si="32"/>
        <v>5312</v>
      </c>
      <c r="B1094" s="27" t="s">
        <v>2896</v>
      </c>
      <c r="C1094" s="26" t="s">
        <v>1283</v>
      </c>
      <c r="D1094" s="26">
        <v>4</v>
      </c>
      <c r="E1094" s="26">
        <v>0</v>
      </c>
      <c r="F1094" s="26">
        <v>78.900000000000006</v>
      </c>
      <c r="G1094" s="26">
        <v>78.88</v>
      </c>
      <c r="I1094" s="26" t="str">
        <f t="shared" si="33"/>
        <v>Y</v>
      </c>
    </row>
    <row r="1095" spans="1:9" x14ac:dyDescent="0.15">
      <c r="A1095" s="26">
        <f t="shared" ref="A1095:A1158" si="34">VALUE(B1095)</f>
        <v>5314</v>
      </c>
      <c r="B1095" s="27" t="s">
        <v>2897</v>
      </c>
      <c r="C1095" s="26" t="s">
        <v>1284</v>
      </c>
      <c r="D1095" s="26">
        <v>1</v>
      </c>
      <c r="E1095" s="26">
        <v>0</v>
      </c>
      <c r="F1095" s="26">
        <v>6.4</v>
      </c>
      <c r="G1095" s="26">
        <v>6.26</v>
      </c>
      <c r="I1095" s="26" t="str">
        <f t="shared" ref="I1095:I1158" si="35">IF(F1095&gt;G1095,"Y","-")</f>
        <v>Y</v>
      </c>
    </row>
    <row r="1096" spans="1:9" x14ac:dyDescent="0.15">
      <c r="A1096" s="26">
        <f t="shared" si="34"/>
        <v>5315</v>
      </c>
      <c r="B1096" s="27" t="s">
        <v>2898</v>
      </c>
      <c r="C1096" s="26" t="s">
        <v>1285</v>
      </c>
      <c r="D1096" s="26">
        <v>-61</v>
      </c>
      <c r="E1096" s="26">
        <v>0</v>
      </c>
      <c r="F1096" s="26">
        <v>29.25</v>
      </c>
      <c r="G1096" s="26">
        <v>28.15</v>
      </c>
      <c r="I1096" s="26" t="str">
        <f t="shared" si="35"/>
        <v>Y</v>
      </c>
    </row>
    <row r="1097" spans="1:9" x14ac:dyDescent="0.15">
      <c r="A1097" s="26">
        <f t="shared" si="34"/>
        <v>5317</v>
      </c>
      <c r="B1097" s="27" t="s">
        <v>2899</v>
      </c>
      <c r="C1097" s="26" t="s">
        <v>1286</v>
      </c>
      <c r="D1097" s="26">
        <v>0</v>
      </c>
      <c r="E1097" s="26">
        <v>0</v>
      </c>
      <c r="F1097" s="26">
        <v>14.25</v>
      </c>
      <c r="G1097" s="26">
        <v>14.84</v>
      </c>
      <c r="I1097" s="26" t="str">
        <f t="shared" si="35"/>
        <v>-</v>
      </c>
    </row>
    <row r="1098" spans="1:9" x14ac:dyDescent="0.15">
      <c r="A1098" s="26">
        <f t="shared" si="34"/>
        <v>5321</v>
      </c>
      <c r="B1098" s="27" t="s">
        <v>2900</v>
      </c>
      <c r="C1098" s="26" t="s">
        <v>1287</v>
      </c>
      <c r="D1098" s="26">
        <v>0</v>
      </c>
      <c r="E1098" s="26">
        <v>0</v>
      </c>
      <c r="F1098" s="26">
        <v>23.3</v>
      </c>
      <c r="G1098" s="26">
        <v>23.03</v>
      </c>
      <c r="I1098" s="26" t="str">
        <f t="shared" si="35"/>
        <v>Y</v>
      </c>
    </row>
    <row r="1099" spans="1:9" x14ac:dyDescent="0.15">
      <c r="A1099" s="26">
        <f t="shared" si="34"/>
        <v>5324</v>
      </c>
      <c r="B1099" s="27" t="s">
        <v>2901</v>
      </c>
      <c r="C1099" s="26" t="s">
        <v>1288</v>
      </c>
      <c r="D1099" s="26">
        <v>-22</v>
      </c>
      <c r="E1099" s="26">
        <v>0</v>
      </c>
      <c r="F1099" s="26">
        <v>9.9</v>
      </c>
      <c r="G1099" s="26">
        <v>9.65</v>
      </c>
      <c r="I1099" s="26" t="str">
        <f t="shared" si="35"/>
        <v>Y</v>
      </c>
    </row>
    <row r="1100" spans="1:9" x14ac:dyDescent="0.15">
      <c r="A1100" s="26">
        <f t="shared" si="34"/>
        <v>5328</v>
      </c>
      <c r="B1100" s="27" t="s">
        <v>2902</v>
      </c>
      <c r="C1100" s="26" t="s">
        <v>1289</v>
      </c>
      <c r="D1100" s="26">
        <v>0</v>
      </c>
      <c r="E1100" s="26">
        <v>0</v>
      </c>
      <c r="F1100" s="26">
        <v>5.63</v>
      </c>
      <c r="G1100" s="26">
        <v>5.51</v>
      </c>
      <c r="I1100" s="26" t="str">
        <f t="shared" si="35"/>
        <v>Y</v>
      </c>
    </row>
    <row r="1101" spans="1:9" x14ac:dyDescent="0.15">
      <c r="A1101" s="26">
        <f t="shared" si="34"/>
        <v>5340</v>
      </c>
      <c r="B1101" s="27" t="s">
        <v>2903</v>
      </c>
      <c r="C1101" s="26" t="s">
        <v>1290</v>
      </c>
      <c r="D1101" s="26">
        <v>11</v>
      </c>
      <c r="E1101" s="26">
        <v>0</v>
      </c>
      <c r="F1101" s="26">
        <v>3.93</v>
      </c>
      <c r="G1101" s="26">
        <v>3.56</v>
      </c>
      <c r="I1101" s="26" t="str">
        <f t="shared" si="35"/>
        <v>Y</v>
      </c>
    </row>
    <row r="1102" spans="1:9" x14ac:dyDescent="0.15">
      <c r="A1102" s="26">
        <f t="shared" si="34"/>
        <v>5344</v>
      </c>
      <c r="B1102" s="27" t="s">
        <v>2904</v>
      </c>
      <c r="C1102" s="26" t="s">
        <v>1291</v>
      </c>
      <c r="D1102" s="26">
        <v>0</v>
      </c>
      <c r="E1102" s="26">
        <v>0</v>
      </c>
      <c r="F1102" s="26">
        <v>5.57</v>
      </c>
      <c r="G1102" s="26">
        <v>5.65</v>
      </c>
      <c r="I1102" s="26" t="str">
        <f t="shared" si="35"/>
        <v>-</v>
      </c>
    </row>
    <row r="1103" spans="1:9" x14ac:dyDescent="0.15">
      <c r="A1103" s="26">
        <f t="shared" si="34"/>
        <v>5345</v>
      </c>
      <c r="B1103" s="27" t="s">
        <v>2905</v>
      </c>
      <c r="C1103" s="26" t="s">
        <v>1292</v>
      </c>
      <c r="D1103" s="26">
        <v>0</v>
      </c>
      <c r="E1103" s="26">
        <v>0</v>
      </c>
      <c r="F1103" s="26">
        <v>9.9499999999999993</v>
      </c>
      <c r="G1103" s="26">
        <v>9.86</v>
      </c>
      <c r="I1103" s="26" t="str">
        <f t="shared" si="35"/>
        <v>Y</v>
      </c>
    </row>
    <row r="1104" spans="1:9" x14ac:dyDescent="0.15">
      <c r="A1104" s="26">
        <f t="shared" si="34"/>
        <v>5347</v>
      </c>
      <c r="B1104" s="27" t="s">
        <v>2906</v>
      </c>
      <c r="C1104" s="26" t="s">
        <v>1293</v>
      </c>
      <c r="D1104" s="26">
        <v>28</v>
      </c>
      <c r="E1104" s="26">
        <v>0</v>
      </c>
      <c r="F1104" s="26">
        <v>50.7</v>
      </c>
      <c r="G1104" s="26">
        <v>51.12</v>
      </c>
      <c r="I1104" s="26" t="str">
        <f t="shared" si="35"/>
        <v>-</v>
      </c>
    </row>
    <row r="1105" spans="1:9" x14ac:dyDescent="0.15">
      <c r="A1105" s="26">
        <f t="shared" si="34"/>
        <v>5348</v>
      </c>
      <c r="B1105" s="27" t="s">
        <v>2907</v>
      </c>
      <c r="C1105" s="26" t="s">
        <v>1294</v>
      </c>
      <c r="D1105" s="26">
        <v>0</v>
      </c>
      <c r="E1105" s="26">
        <v>0</v>
      </c>
      <c r="F1105" s="26">
        <v>6.2</v>
      </c>
      <c r="G1105" s="26">
        <v>6.98</v>
      </c>
      <c r="I1105" s="26" t="str">
        <f t="shared" si="35"/>
        <v>-</v>
      </c>
    </row>
    <row r="1106" spans="1:9" x14ac:dyDescent="0.15">
      <c r="A1106" s="26">
        <f t="shared" si="34"/>
        <v>5349</v>
      </c>
      <c r="B1106" s="27" t="s">
        <v>2908</v>
      </c>
      <c r="C1106" s="26" t="s">
        <v>1295</v>
      </c>
      <c r="D1106" s="26">
        <v>-217</v>
      </c>
      <c r="E1106" s="26">
        <v>100</v>
      </c>
      <c r="F1106" s="26">
        <v>31.2</v>
      </c>
      <c r="G1106" s="26">
        <v>30.65</v>
      </c>
      <c r="I1106" s="26" t="str">
        <f t="shared" si="35"/>
        <v>Y</v>
      </c>
    </row>
    <row r="1107" spans="1:9" x14ac:dyDescent="0.15">
      <c r="A1107" s="26">
        <f t="shared" si="34"/>
        <v>5351</v>
      </c>
      <c r="B1107" s="27" t="s">
        <v>2909</v>
      </c>
      <c r="C1107" s="26" t="s">
        <v>1296</v>
      </c>
      <c r="D1107" s="26">
        <v>75</v>
      </c>
      <c r="E1107" s="26">
        <v>0</v>
      </c>
      <c r="F1107" s="26">
        <v>13.95</v>
      </c>
      <c r="G1107" s="26">
        <v>13.49</v>
      </c>
      <c r="I1107" s="26" t="str">
        <f t="shared" si="35"/>
        <v>Y</v>
      </c>
    </row>
    <row r="1108" spans="1:9" x14ac:dyDescent="0.15">
      <c r="A1108" s="26">
        <f t="shared" si="34"/>
        <v>5353</v>
      </c>
      <c r="B1108" s="27" t="s">
        <v>2910</v>
      </c>
      <c r="C1108" s="26" t="s">
        <v>1297</v>
      </c>
      <c r="D1108" s="26">
        <v>-4</v>
      </c>
      <c r="E1108" s="26">
        <v>0</v>
      </c>
      <c r="F1108" s="26">
        <v>11.4</v>
      </c>
      <c r="G1108" s="26">
        <v>11.08</v>
      </c>
      <c r="I1108" s="26" t="str">
        <f t="shared" si="35"/>
        <v>Y</v>
      </c>
    </row>
    <row r="1109" spans="1:9" x14ac:dyDescent="0.15">
      <c r="A1109" s="26">
        <f t="shared" si="34"/>
        <v>5355</v>
      </c>
      <c r="B1109" s="27" t="s">
        <v>2911</v>
      </c>
      <c r="C1109" s="26" t="s">
        <v>1298</v>
      </c>
      <c r="D1109" s="26">
        <v>2</v>
      </c>
      <c r="E1109" s="26">
        <v>0</v>
      </c>
      <c r="F1109" s="26">
        <v>6.59</v>
      </c>
      <c r="G1109" s="26">
        <v>6.38</v>
      </c>
      <c r="I1109" s="26" t="str">
        <f t="shared" si="35"/>
        <v>Y</v>
      </c>
    </row>
    <row r="1110" spans="1:9" x14ac:dyDescent="0.15">
      <c r="A1110" s="26">
        <f t="shared" si="34"/>
        <v>5356</v>
      </c>
      <c r="B1110" s="27" t="s">
        <v>2912</v>
      </c>
      <c r="C1110" s="26" t="s">
        <v>1299</v>
      </c>
      <c r="D1110" s="26">
        <v>69</v>
      </c>
      <c r="E1110" s="26">
        <v>0</v>
      </c>
      <c r="F1110" s="26">
        <v>38.950000000000003</v>
      </c>
      <c r="G1110" s="26">
        <v>37.049999999999997</v>
      </c>
      <c r="I1110" s="26" t="str">
        <f t="shared" si="35"/>
        <v>Y</v>
      </c>
    </row>
    <row r="1111" spans="1:9" x14ac:dyDescent="0.15">
      <c r="A1111" s="26">
        <f t="shared" si="34"/>
        <v>5364</v>
      </c>
      <c r="B1111" s="27" t="s">
        <v>2913</v>
      </c>
      <c r="C1111" s="26" t="s">
        <v>1300</v>
      </c>
      <c r="D1111" s="26">
        <v>0</v>
      </c>
      <c r="E1111" s="26">
        <v>0</v>
      </c>
      <c r="F1111" s="26">
        <v>40.15</v>
      </c>
      <c r="G1111" s="26">
        <v>41.09</v>
      </c>
      <c r="I1111" s="26" t="str">
        <f t="shared" si="35"/>
        <v>-</v>
      </c>
    </row>
    <row r="1112" spans="1:9" x14ac:dyDescent="0.15">
      <c r="A1112" s="26">
        <f t="shared" si="34"/>
        <v>5371</v>
      </c>
      <c r="B1112" s="27" t="s">
        <v>2914</v>
      </c>
      <c r="C1112" s="26" t="s">
        <v>1301</v>
      </c>
      <c r="D1112" s="26">
        <v>-242</v>
      </c>
      <c r="E1112" s="26">
        <v>0</v>
      </c>
      <c r="F1112" s="26">
        <v>33.200000000000003</v>
      </c>
      <c r="G1112" s="26">
        <v>32.28</v>
      </c>
      <c r="I1112" s="26" t="str">
        <f t="shared" si="35"/>
        <v>Y</v>
      </c>
    </row>
    <row r="1113" spans="1:9" x14ac:dyDescent="0.15">
      <c r="A1113" s="26">
        <f t="shared" si="34"/>
        <v>5381</v>
      </c>
      <c r="B1113" s="27" t="s">
        <v>2915</v>
      </c>
      <c r="C1113" s="26" t="s">
        <v>1302</v>
      </c>
      <c r="D1113" s="26">
        <v>0</v>
      </c>
      <c r="E1113" s="26">
        <v>0</v>
      </c>
      <c r="F1113" s="26">
        <v>1.54</v>
      </c>
      <c r="G1113" s="26">
        <v>1.34</v>
      </c>
      <c r="I1113" s="26" t="str">
        <f t="shared" si="35"/>
        <v>Y</v>
      </c>
    </row>
    <row r="1114" spans="1:9" x14ac:dyDescent="0.15">
      <c r="A1114" s="26">
        <f t="shared" si="34"/>
        <v>5383</v>
      </c>
      <c r="B1114" s="27" t="s">
        <v>2916</v>
      </c>
      <c r="C1114" s="26" t="s">
        <v>1303</v>
      </c>
      <c r="D1114" s="26">
        <v>0</v>
      </c>
      <c r="E1114" s="26">
        <v>0</v>
      </c>
      <c r="F1114" s="26">
        <v>9.5500000000000007</v>
      </c>
      <c r="G1114" s="26">
        <v>9.61</v>
      </c>
      <c r="I1114" s="26" t="str">
        <f t="shared" si="35"/>
        <v>-</v>
      </c>
    </row>
    <row r="1115" spans="1:9" x14ac:dyDescent="0.15">
      <c r="A1115" s="26">
        <f t="shared" si="34"/>
        <v>5384</v>
      </c>
      <c r="B1115" s="27" t="s">
        <v>2917</v>
      </c>
      <c r="C1115" s="26" t="s">
        <v>1304</v>
      </c>
      <c r="D1115" s="26">
        <v>0</v>
      </c>
      <c r="E1115" s="26">
        <v>0</v>
      </c>
      <c r="F1115" s="26">
        <v>12.4</v>
      </c>
      <c r="G1115" s="26">
        <v>12.25</v>
      </c>
      <c r="I1115" s="26" t="str">
        <f t="shared" si="35"/>
        <v>Y</v>
      </c>
    </row>
    <row r="1116" spans="1:9" x14ac:dyDescent="0.15">
      <c r="A1116" s="26">
        <f t="shared" si="34"/>
        <v>5386</v>
      </c>
      <c r="B1116" s="27" t="s">
        <v>2918</v>
      </c>
      <c r="C1116" s="26" t="s">
        <v>1305</v>
      </c>
      <c r="D1116" s="26">
        <v>0</v>
      </c>
      <c r="E1116" s="26">
        <v>0</v>
      </c>
      <c r="F1116" s="26">
        <v>23.85</v>
      </c>
      <c r="G1116" s="26">
        <v>24.31</v>
      </c>
      <c r="I1116" s="26" t="str">
        <f t="shared" si="35"/>
        <v>-</v>
      </c>
    </row>
    <row r="1117" spans="1:9" x14ac:dyDescent="0.15">
      <c r="A1117" s="26">
        <f t="shared" si="34"/>
        <v>5388</v>
      </c>
      <c r="B1117" s="27" t="s">
        <v>2919</v>
      </c>
      <c r="C1117" s="26" t="s">
        <v>1306</v>
      </c>
      <c r="D1117" s="26">
        <v>-200</v>
      </c>
      <c r="E1117" s="26">
        <v>-205</v>
      </c>
      <c r="F1117" s="26">
        <v>81.8</v>
      </c>
      <c r="G1117" s="26">
        <v>84.17</v>
      </c>
      <c r="I1117" s="26" t="str">
        <f t="shared" si="35"/>
        <v>-</v>
      </c>
    </row>
    <row r="1118" spans="1:9" x14ac:dyDescent="0.15">
      <c r="A1118" s="26">
        <f t="shared" si="34"/>
        <v>5392</v>
      </c>
      <c r="B1118" s="27" t="s">
        <v>2920</v>
      </c>
      <c r="C1118" s="26" t="s">
        <v>1307</v>
      </c>
      <c r="D1118" s="26">
        <v>29</v>
      </c>
      <c r="E1118" s="26">
        <v>0</v>
      </c>
      <c r="F1118" s="26">
        <v>51.5</v>
      </c>
      <c r="G1118" s="26">
        <v>50.93</v>
      </c>
      <c r="I1118" s="26" t="str">
        <f t="shared" si="35"/>
        <v>Y</v>
      </c>
    </row>
    <row r="1119" spans="1:9" x14ac:dyDescent="0.15">
      <c r="A1119" s="26">
        <f t="shared" si="34"/>
        <v>5395</v>
      </c>
      <c r="B1119" s="27" t="s">
        <v>2921</v>
      </c>
      <c r="C1119" s="26" t="s">
        <v>1308</v>
      </c>
      <c r="D1119" s="26">
        <v>0</v>
      </c>
      <c r="E1119" s="26">
        <v>0</v>
      </c>
      <c r="F1119" s="26">
        <v>31.85</v>
      </c>
      <c r="G1119" s="26">
        <v>32.130000000000003</v>
      </c>
      <c r="I1119" s="26" t="str">
        <f t="shared" si="35"/>
        <v>-</v>
      </c>
    </row>
    <row r="1120" spans="1:9" x14ac:dyDescent="0.15">
      <c r="A1120" s="26">
        <f t="shared" si="34"/>
        <v>5398</v>
      </c>
      <c r="B1120" s="27" t="s">
        <v>2922</v>
      </c>
      <c r="C1120" s="26" t="s">
        <v>1309</v>
      </c>
      <c r="D1120" s="26">
        <v>5</v>
      </c>
      <c r="E1120" s="26">
        <v>0</v>
      </c>
      <c r="F1120" s="26">
        <v>21.3</v>
      </c>
      <c r="G1120" s="26">
        <v>19.04</v>
      </c>
      <c r="I1120" s="26" t="str">
        <f t="shared" si="35"/>
        <v>Y</v>
      </c>
    </row>
    <row r="1121" spans="1:9" x14ac:dyDescent="0.15">
      <c r="A1121" s="26">
        <f t="shared" si="34"/>
        <v>5403</v>
      </c>
      <c r="B1121" s="27" t="s">
        <v>2923</v>
      </c>
      <c r="C1121" s="26" t="s">
        <v>1310</v>
      </c>
      <c r="D1121" s="26">
        <v>11</v>
      </c>
      <c r="E1121" s="26">
        <v>0</v>
      </c>
      <c r="F1121" s="26">
        <v>23.1</v>
      </c>
      <c r="G1121" s="26">
        <v>22.67</v>
      </c>
      <c r="I1121" s="26" t="str">
        <f t="shared" si="35"/>
        <v>Y</v>
      </c>
    </row>
    <row r="1122" spans="1:9" x14ac:dyDescent="0.15">
      <c r="A1122" s="26">
        <f t="shared" si="34"/>
        <v>5410</v>
      </c>
      <c r="B1122" s="27" t="s">
        <v>2924</v>
      </c>
      <c r="C1122" s="26" t="s">
        <v>1311</v>
      </c>
      <c r="D1122" s="26">
        <v>-1</v>
      </c>
      <c r="E1122" s="26">
        <v>0</v>
      </c>
      <c r="F1122" s="26">
        <v>12.3</v>
      </c>
      <c r="G1122" s="26">
        <v>11.94</v>
      </c>
      <c r="I1122" s="26" t="str">
        <f t="shared" si="35"/>
        <v>Y</v>
      </c>
    </row>
    <row r="1123" spans="1:9" x14ac:dyDescent="0.15">
      <c r="A1123" s="26">
        <f t="shared" si="34"/>
        <v>5425</v>
      </c>
      <c r="B1123" s="27" t="s">
        <v>2925</v>
      </c>
      <c r="C1123" s="26" t="s">
        <v>1312</v>
      </c>
      <c r="D1123" s="26">
        <v>267</v>
      </c>
      <c r="E1123" s="26">
        <v>598</v>
      </c>
      <c r="F1123" s="26">
        <v>39.299999999999997</v>
      </c>
      <c r="G1123" s="26">
        <v>36.99</v>
      </c>
      <c r="I1123" s="26" t="str">
        <f t="shared" si="35"/>
        <v>Y</v>
      </c>
    </row>
    <row r="1124" spans="1:9" x14ac:dyDescent="0.15">
      <c r="A1124" s="26">
        <f t="shared" si="34"/>
        <v>5426</v>
      </c>
      <c r="B1124" s="27" t="s">
        <v>2926</v>
      </c>
      <c r="C1124" s="26" t="s">
        <v>1313</v>
      </c>
      <c r="D1124" s="26">
        <v>0</v>
      </c>
      <c r="E1124" s="26">
        <v>0</v>
      </c>
      <c r="F1124" s="26">
        <v>11</v>
      </c>
      <c r="G1124" s="26">
        <v>10.8</v>
      </c>
      <c r="I1124" s="26" t="str">
        <f t="shared" si="35"/>
        <v>Y</v>
      </c>
    </row>
    <row r="1125" spans="1:9" x14ac:dyDescent="0.15">
      <c r="A1125" s="26">
        <f t="shared" si="34"/>
        <v>5432</v>
      </c>
      <c r="B1125" s="27" t="s">
        <v>2927</v>
      </c>
      <c r="C1125" s="26" t="s">
        <v>1314</v>
      </c>
      <c r="D1125" s="26">
        <v>0</v>
      </c>
      <c r="E1125" s="26">
        <v>0</v>
      </c>
      <c r="F1125" s="26">
        <v>15.3</v>
      </c>
      <c r="G1125" s="26">
        <v>15.21</v>
      </c>
      <c r="I1125" s="26" t="str">
        <f t="shared" si="35"/>
        <v>Y</v>
      </c>
    </row>
    <row r="1126" spans="1:9" x14ac:dyDescent="0.15">
      <c r="A1126" s="26">
        <f t="shared" si="34"/>
        <v>5434</v>
      </c>
      <c r="B1126" s="27" t="s">
        <v>2928</v>
      </c>
      <c r="C1126" s="26" t="s">
        <v>1315</v>
      </c>
      <c r="D1126" s="26">
        <v>55</v>
      </c>
      <c r="E1126" s="26">
        <v>0</v>
      </c>
      <c r="F1126" s="26">
        <v>59.7</v>
      </c>
      <c r="G1126" s="26">
        <v>58.73</v>
      </c>
      <c r="I1126" s="26" t="str">
        <f t="shared" si="35"/>
        <v>Y</v>
      </c>
    </row>
    <row r="1127" spans="1:9" x14ac:dyDescent="0.15">
      <c r="A1127" s="26">
        <f t="shared" si="34"/>
        <v>5438</v>
      </c>
      <c r="B1127" s="27" t="s">
        <v>2929</v>
      </c>
      <c r="C1127" s="26" t="s">
        <v>1316</v>
      </c>
      <c r="D1127" s="26">
        <v>19</v>
      </c>
      <c r="E1127" s="26">
        <v>0</v>
      </c>
      <c r="F1127" s="26">
        <v>15.05</v>
      </c>
      <c r="G1127" s="26">
        <v>14.28</v>
      </c>
      <c r="I1127" s="26" t="str">
        <f t="shared" si="35"/>
        <v>Y</v>
      </c>
    </row>
    <row r="1128" spans="1:9" x14ac:dyDescent="0.15">
      <c r="A1128" s="26">
        <f t="shared" si="34"/>
        <v>5439</v>
      </c>
      <c r="B1128" s="27" t="s">
        <v>2930</v>
      </c>
      <c r="C1128" s="26" t="s">
        <v>1317</v>
      </c>
      <c r="D1128" s="26">
        <v>0</v>
      </c>
      <c r="E1128" s="26">
        <v>0</v>
      </c>
      <c r="F1128" s="26">
        <v>20.149999999999999</v>
      </c>
      <c r="G1128" s="26">
        <v>19.45</v>
      </c>
      <c r="I1128" s="26" t="str">
        <f t="shared" si="35"/>
        <v>Y</v>
      </c>
    </row>
    <row r="1129" spans="1:9" x14ac:dyDescent="0.15">
      <c r="A1129" s="26">
        <f t="shared" si="34"/>
        <v>5443</v>
      </c>
      <c r="B1129" s="27" t="s">
        <v>2931</v>
      </c>
      <c r="C1129" s="26" t="s">
        <v>1318</v>
      </c>
      <c r="D1129" s="26">
        <v>-164</v>
      </c>
      <c r="E1129" s="26">
        <v>0</v>
      </c>
      <c r="F1129" s="26">
        <v>16.2</v>
      </c>
      <c r="G1129" s="26">
        <v>15.5</v>
      </c>
      <c r="I1129" s="26" t="str">
        <f t="shared" si="35"/>
        <v>Y</v>
      </c>
    </row>
    <row r="1130" spans="1:9" x14ac:dyDescent="0.15">
      <c r="A1130" s="26">
        <f t="shared" si="34"/>
        <v>5450</v>
      </c>
      <c r="B1130" s="27" t="s">
        <v>2932</v>
      </c>
      <c r="C1130" s="26" t="s">
        <v>1319</v>
      </c>
      <c r="D1130" s="26">
        <v>0</v>
      </c>
      <c r="E1130" s="26">
        <v>0</v>
      </c>
      <c r="F1130" s="26">
        <v>9.4</v>
      </c>
      <c r="G1130" s="26">
        <v>9.34</v>
      </c>
      <c r="I1130" s="26" t="str">
        <f t="shared" si="35"/>
        <v>Y</v>
      </c>
    </row>
    <row r="1131" spans="1:9" x14ac:dyDescent="0.15">
      <c r="A1131" s="26">
        <f t="shared" si="34"/>
        <v>5452</v>
      </c>
      <c r="B1131" s="27" t="s">
        <v>2933</v>
      </c>
      <c r="C1131" s="26" t="s">
        <v>1320</v>
      </c>
      <c r="D1131" s="26">
        <v>-57</v>
      </c>
      <c r="E1131" s="26">
        <v>0</v>
      </c>
      <c r="F1131" s="26">
        <v>11.85</v>
      </c>
      <c r="G1131" s="26">
        <v>10.06</v>
      </c>
      <c r="I1131" s="26" t="str">
        <f t="shared" si="35"/>
        <v>Y</v>
      </c>
    </row>
    <row r="1132" spans="1:9" x14ac:dyDescent="0.15">
      <c r="A1132" s="26">
        <f t="shared" si="34"/>
        <v>5455</v>
      </c>
      <c r="B1132" s="27" t="s">
        <v>2934</v>
      </c>
      <c r="C1132" s="26" t="s">
        <v>1321</v>
      </c>
      <c r="D1132" s="26">
        <v>0</v>
      </c>
      <c r="E1132" s="26">
        <v>0</v>
      </c>
      <c r="F1132" s="26">
        <v>5.01</v>
      </c>
      <c r="G1132" s="26">
        <v>5.46</v>
      </c>
      <c r="I1132" s="26" t="str">
        <f t="shared" si="35"/>
        <v>-</v>
      </c>
    </row>
    <row r="1133" spans="1:9" x14ac:dyDescent="0.15">
      <c r="A1133" s="26">
        <f t="shared" si="34"/>
        <v>5457</v>
      </c>
      <c r="B1133" s="27" t="s">
        <v>2935</v>
      </c>
      <c r="C1133" s="26" t="s">
        <v>1322</v>
      </c>
      <c r="D1133" s="26">
        <v>155</v>
      </c>
      <c r="E1133" s="26">
        <v>0</v>
      </c>
      <c r="F1133" s="26">
        <v>27.9</v>
      </c>
      <c r="G1133" s="26">
        <v>25.46</v>
      </c>
      <c r="I1133" s="26" t="str">
        <f t="shared" si="35"/>
        <v>Y</v>
      </c>
    </row>
    <row r="1134" spans="1:9" x14ac:dyDescent="0.15">
      <c r="A1134" s="26">
        <f t="shared" si="34"/>
        <v>5460</v>
      </c>
      <c r="B1134" s="27" t="s">
        <v>2936</v>
      </c>
      <c r="C1134" s="26" t="s">
        <v>1323</v>
      </c>
      <c r="D1134" s="26">
        <v>0</v>
      </c>
      <c r="E1134" s="26">
        <v>0</v>
      </c>
      <c r="F1134" s="26">
        <v>12</v>
      </c>
      <c r="G1134" s="26">
        <v>11.51</v>
      </c>
      <c r="I1134" s="26" t="str">
        <f t="shared" si="35"/>
        <v>Y</v>
      </c>
    </row>
    <row r="1135" spans="1:9" x14ac:dyDescent="0.15">
      <c r="A1135" s="26">
        <f t="shared" si="34"/>
        <v>5464</v>
      </c>
      <c r="B1135" s="27" t="s">
        <v>2937</v>
      </c>
      <c r="C1135" s="26" t="s">
        <v>1324</v>
      </c>
      <c r="D1135" s="26">
        <v>0</v>
      </c>
      <c r="E1135" s="26">
        <v>0</v>
      </c>
      <c r="F1135" s="26">
        <v>17.75</v>
      </c>
      <c r="G1135" s="26">
        <v>17.11</v>
      </c>
      <c r="I1135" s="26" t="str">
        <f t="shared" si="35"/>
        <v>Y</v>
      </c>
    </row>
    <row r="1136" spans="1:9" x14ac:dyDescent="0.15">
      <c r="A1136" s="26">
        <f t="shared" si="34"/>
        <v>5465</v>
      </c>
      <c r="B1136" s="27" t="s">
        <v>2938</v>
      </c>
      <c r="C1136" s="26" t="s">
        <v>1325</v>
      </c>
      <c r="D1136" s="26">
        <v>0</v>
      </c>
      <c r="E1136" s="26">
        <v>0</v>
      </c>
      <c r="F1136" s="26">
        <v>13.35</v>
      </c>
      <c r="G1136" s="26">
        <v>11.32</v>
      </c>
      <c r="I1136" s="26" t="str">
        <f t="shared" si="35"/>
        <v>Y</v>
      </c>
    </row>
    <row r="1137" spans="1:9" x14ac:dyDescent="0.15">
      <c r="A1137" s="26">
        <f t="shared" si="34"/>
        <v>5468</v>
      </c>
      <c r="B1137" s="27" t="s">
        <v>2939</v>
      </c>
      <c r="C1137" s="26" t="s">
        <v>1326</v>
      </c>
      <c r="D1137" s="26">
        <v>-2</v>
      </c>
      <c r="E1137" s="26">
        <v>0</v>
      </c>
      <c r="F1137" s="26">
        <v>5.5</v>
      </c>
      <c r="G1137" s="26">
        <v>5.68</v>
      </c>
      <c r="I1137" s="26" t="str">
        <f t="shared" si="35"/>
        <v>-</v>
      </c>
    </row>
    <row r="1138" spans="1:9" x14ac:dyDescent="0.15">
      <c r="A1138" s="26">
        <f t="shared" si="34"/>
        <v>5469</v>
      </c>
      <c r="B1138" s="27" t="s">
        <v>2940</v>
      </c>
      <c r="C1138" s="26" t="s">
        <v>1327</v>
      </c>
      <c r="D1138" s="26">
        <v>40</v>
      </c>
      <c r="E1138" s="26">
        <v>0</v>
      </c>
      <c r="F1138" s="26">
        <v>10.55</v>
      </c>
      <c r="G1138" s="26">
        <v>10.35</v>
      </c>
      <c r="I1138" s="26" t="str">
        <f t="shared" si="35"/>
        <v>Y</v>
      </c>
    </row>
    <row r="1139" spans="1:9" x14ac:dyDescent="0.15">
      <c r="A1139" s="26">
        <f t="shared" si="34"/>
        <v>5471</v>
      </c>
      <c r="B1139" s="27" t="s">
        <v>2941</v>
      </c>
      <c r="C1139" s="26" t="s">
        <v>1328</v>
      </c>
      <c r="D1139" s="26">
        <v>12</v>
      </c>
      <c r="E1139" s="26">
        <v>0</v>
      </c>
      <c r="F1139" s="26">
        <v>36.799999999999997</v>
      </c>
      <c r="G1139" s="26">
        <v>36.14</v>
      </c>
      <c r="I1139" s="26" t="str">
        <f t="shared" si="35"/>
        <v>Y</v>
      </c>
    </row>
    <row r="1140" spans="1:9" x14ac:dyDescent="0.15">
      <c r="A1140" s="26">
        <f t="shared" si="34"/>
        <v>5474</v>
      </c>
      <c r="B1140" s="27" t="s">
        <v>2942</v>
      </c>
      <c r="C1140" s="26" t="s">
        <v>1329</v>
      </c>
      <c r="D1140" s="26">
        <v>-16</v>
      </c>
      <c r="E1140" s="26">
        <v>0</v>
      </c>
      <c r="F1140" s="26">
        <v>64.2</v>
      </c>
      <c r="G1140" s="26">
        <v>63.15</v>
      </c>
      <c r="I1140" s="26" t="str">
        <f t="shared" si="35"/>
        <v>Y</v>
      </c>
    </row>
    <row r="1141" spans="1:9" x14ac:dyDescent="0.15">
      <c r="A1141" s="26">
        <f t="shared" si="34"/>
        <v>5475</v>
      </c>
      <c r="B1141" s="27" t="s">
        <v>2943</v>
      </c>
      <c r="C1141" s="26" t="s">
        <v>1330</v>
      </c>
      <c r="D1141" s="26">
        <v>7</v>
      </c>
      <c r="E1141" s="26">
        <v>0</v>
      </c>
      <c r="F1141" s="26">
        <v>3.81</v>
      </c>
      <c r="G1141" s="26">
        <v>3.22</v>
      </c>
      <c r="I1141" s="26" t="str">
        <f t="shared" si="35"/>
        <v>Y</v>
      </c>
    </row>
    <row r="1142" spans="1:9" x14ac:dyDescent="0.15">
      <c r="A1142" s="26">
        <f t="shared" si="34"/>
        <v>5478</v>
      </c>
      <c r="B1142" s="27" t="s">
        <v>2944</v>
      </c>
      <c r="C1142" s="26" t="s">
        <v>1331</v>
      </c>
      <c r="D1142" s="26">
        <v>171</v>
      </c>
      <c r="E1142" s="26">
        <v>-7</v>
      </c>
      <c r="F1142" s="26">
        <v>73.2</v>
      </c>
      <c r="G1142" s="26">
        <v>71.27</v>
      </c>
      <c r="I1142" s="26" t="str">
        <f t="shared" si="35"/>
        <v>Y</v>
      </c>
    </row>
    <row r="1143" spans="1:9" x14ac:dyDescent="0.15">
      <c r="A1143" s="26">
        <f t="shared" si="34"/>
        <v>5480</v>
      </c>
      <c r="B1143" s="27" t="s">
        <v>2945</v>
      </c>
      <c r="C1143" s="26" t="s">
        <v>1332</v>
      </c>
      <c r="D1143" s="26">
        <v>-5</v>
      </c>
      <c r="E1143" s="26">
        <v>0</v>
      </c>
      <c r="F1143" s="26">
        <v>11.35</v>
      </c>
      <c r="G1143" s="26">
        <v>10.91</v>
      </c>
      <c r="I1143" s="26" t="str">
        <f t="shared" si="35"/>
        <v>Y</v>
      </c>
    </row>
    <row r="1144" spans="1:9" x14ac:dyDescent="0.15">
      <c r="A1144" s="26">
        <f t="shared" si="34"/>
        <v>5481</v>
      </c>
      <c r="B1144" s="27" t="s">
        <v>2946</v>
      </c>
      <c r="C1144" s="26" t="s">
        <v>1333</v>
      </c>
      <c r="D1144" s="26">
        <v>9</v>
      </c>
      <c r="E1144" s="26">
        <v>0</v>
      </c>
      <c r="F1144" s="26">
        <v>15</v>
      </c>
      <c r="G1144" s="26">
        <v>14.96</v>
      </c>
      <c r="I1144" s="26" t="str">
        <f t="shared" si="35"/>
        <v>Y</v>
      </c>
    </row>
    <row r="1145" spans="1:9" x14ac:dyDescent="0.15">
      <c r="A1145" s="26">
        <f t="shared" si="34"/>
        <v>5483</v>
      </c>
      <c r="B1145" s="27" t="s">
        <v>2947</v>
      </c>
      <c r="C1145" s="26" t="s">
        <v>1334</v>
      </c>
      <c r="D1145" s="26">
        <v>-2506</v>
      </c>
      <c r="E1145" s="26">
        <v>-882</v>
      </c>
      <c r="F1145" s="26">
        <v>40.299999999999997</v>
      </c>
      <c r="G1145" s="26">
        <v>41.73</v>
      </c>
      <c r="I1145" s="26" t="str">
        <f t="shared" si="35"/>
        <v>-</v>
      </c>
    </row>
    <row r="1146" spans="1:9" x14ac:dyDescent="0.15">
      <c r="A1146" s="26">
        <f t="shared" si="34"/>
        <v>5484</v>
      </c>
      <c r="B1146" s="27" t="s">
        <v>2948</v>
      </c>
      <c r="C1146" s="26" t="s">
        <v>1335</v>
      </c>
      <c r="D1146" s="26">
        <v>-8</v>
      </c>
      <c r="E1146" s="26">
        <v>0</v>
      </c>
      <c r="F1146" s="26">
        <v>4.0999999999999996</v>
      </c>
      <c r="G1146" s="26">
        <v>3.97</v>
      </c>
      <c r="I1146" s="26" t="str">
        <f t="shared" si="35"/>
        <v>Y</v>
      </c>
    </row>
    <row r="1147" spans="1:9" x14ac:dyDescent="0.15">
      <c r="A1147" s="26">
        <f t="shared" si="34"/>
        <v>5487</v>
      </c>
      <c r="B1147" s="27" t="s">
        <v>2949</v>
      </c>
      <c r="C1147" s="26" t="s">
        <v>1336</v>
      </c>
      <c r="D1147" s="26">
        <v>0</v>
      </c>
      <c r="E1147" s="26">
        <v>0</v>
      </c>
      <c r="F1147" s="26">
        <v>22.6</v>
      </c>
      <c r="G1147" s="26">
        <v>22.36</v>
      </c>
      <c r="I1147" s="26" t="str">
        <f t="shared" si="35"/>
        <v>Y</v>
      </c>
    </row>
    <row r="1148" spans="1:9" x14ac:dyDescent="0.15">
      <c r="A1148" s="26">
        <f t="shared" si="34"/>
        <v>5488</v>
      </c>
      <c r="B1148" s="27" t="s">
        <v>2950</v>
      </c>
      <c r="C1148" s="26" t="s">
        <v>1337</v>
      </c>
      <c r="D1148" s="26">
        <v>0</v>
      </c>
      <c r="E1148" s="26">
        <v>0</v>
      </c>
      <c r="F1148" s="26">
        <v>5.85</v>
      </c>
      <c r="G1148" s="26">
        <v>5.55</v>
      </c>
      <c r="I1148" s="26" t="str">
        <f t="shared" si="35"/>
        <v>Y</v>
      </c>
    </row>
    <row r="1149" spans="1:9" x14ac:dyDescent="0.15">
      <c r="A1149" s="26">
        <f t="shared" si="34"/>
        <v>5489</v>
      </c>
      <c r="B1149" s="27" t="s">
        <v>2951</v>
      </c>
      <c r="C1149" s="26" t="s">
        <v>1338</v>
      </c>
      <c r="D1149" s="26">
        <v>3</v>
      </c>
      <c r="E1149" s="26">
        <v>15</v>
      </c>
      <c r="F1149" s="26">
        <v>51.6</v>
      </c>
      <c r="G1149" s="26">
        <v>51.83</v>
      </c>
      <c r="I1149" s="26" t="str">
        <f t="shared" si="35"/>
        <v>-</v>
      </c>
    </row>
    <row r="1150" spans="1:9" x14ac:dyDescent="0.15">
      <c r="A1150" s="26">
        <f t="shared" si="34"/>
        <v>5490</v>
      </c>
      <c r="B1150" s="27" t="s">
        <v>2952</v>
      </c>
      <c r="C1150" s="26" t="s">
        <v>1339</v>
      </c>
      <c r="D1150" s="26">
        <v>-233</v>
      </c>
      <c r="E1150" s="26">
        <v>-69</v>
      </c>
      <c r="F1150" s="26">
        <v>72.599999999999994</v>
      </c>
      <c r="G1150" s="26">
        <v>74.430000000000007</v>
      </c>
      <c r="I1150" s="26" t="str">
        <f t="shared" si="35"/>
        <v>-</v>
      </c>
    </row>
    <row r="1151" spans="1:9" x14ac:dyDescent="0.15">
      <c r="A1151" s="26">
        <f t="shared" si="34"/>
        <v>5491</v>
      </c>
      <c r="B1151" s="27" t="s">
        <v>2953</v>
      </c>
      <c r="C1151" s="26" t="s">
        <v>1340</v>
      </c>
      <c r="D1151" s="26">
        <v>-78</v>
      </c>
      <c r="E1151" s="26">
        <v>0</v>
      </c>
      <c r="F1151" s="26">
        <v>7.13</v>
      </c>
      <c r="G1151" s="26">
        <v>6.75</v>
      </c>
      <c r="I1151" s="26" t="str">
        <f t="shared" si="35"/>
        <v>Y</v>
      </c>
    </row>
    <row r="1152" spans="1:9" x14ac:dyDescent="0.15">
      <c r="A1152" s="26">
        <f t="shared" si="34"/>
        <v>5493</v>
      </c>
      <c r="B1152" s="27" t="s">
        <v>2954</v>
      </c>
      <c r="C1152" s="26" t="s">
        <v>1341</v>
      </c>
      <c r="D1152" s="26">
        <v>-1</v>
      </c>
      <c r="E1152" s="26">
        <v>0</v>
      </c>
      <c r="F1152" s="26">
        <v>32.5</v>
      </c>
      <c r="G1152" s="26">
        <v>32.380000000000003</v>
      </c>
      <c r="I1152" s="26" t="str">
        <f t="shared" si="35"/>
        <v>Y</v>
      </c>
    </row>
    <row r="1153" spans="1:9" x14ac:dyDescent="0.15">
      <c r="A1153" s="26">
        <f t="shared" si="34"/>
        <v>5498</v>
      </c>
      <c r="B1153" s="27" t="s">
        <v>2955</v>
      </c>
      <c r="C1153" s="26" t="s">
        <v>1342</v>
      </c>
      <c r="D1153" s="26">
        <v>-13</v>
      </c>
      <c r="E1153" s="26">
        <v>0</v>
      </c>
      <c r="F1153" s="26">
        <v>8.99</v>
      </c>
      <c r="G1153" s="26">
        <v>8.93</v>
      </c>
      <c r="I1153" s="26" t="str">
        <f t="shared" si="35"/>
        <v>Y</v>
      </c>
    </row>
    <row r="1154" spans="1:9" x14ac:dyDescent="0.15">
      <c r="A1154" s="26">
        <f t="shared" si="34"/>
        <v>5508</v>
      </c>
      <c r="B1154" s="27" t="s">
        <v>2956</v>
      </c>
      <c r="C1154" s="26" t="s">
        <v>1343</v>
      </c>
      <c r="D1154" s="26">
        <v>0</v>
      </c>
      <c r="E1154" s="26">
        <v>0</v>
      </c>
      <c r="F1154" s="26">
        <v>31.4</v>
      </c>
      <c r="G1154" s="26">
        <v>27.43</v>
      </c>
      <c r="I1154" s="26" t="str">
        <f t="shared" si="35"/>
        <v>Y</v>
      </c>
    </row>
    <row r="1155" spans="1:9" x14ac:dyDescent="0.15">
      <c r="A1155" s="26">
        <f t="shared" si="34"/>
        <v>5511</v>
      </c>
      <c r="B1155" s="27" t="s">
        <v>2957</v>
      </c>
      <c r="C1155" s="26" t="s">
        <v>1344</v>
      </c>
      <c r="D1155" s="26">
        <v>0</v>
      </c>
      <c r="E1155" s="26">
        <v>0</v>
      </c>
      <c r="F1155" s="26">
        <v>25.45</v>
      </c>
      <c r="G1155" s="26">
        <v>24.77</v>
      </c>
      <c r="I1155" s="26" t="str">
        <f t="shared" si="35"/>
        <v>Y</v>
      </c>
    </row>
    <row r="1156" spans="1:9" x14ac:dyDescent="0.15">
      <c r="A1156" s="26">
        <f t="shared" si="34"/>
        <v>5512</v>
      </c>
      <c r="B1156" s="27" t="s">
        <v>2958</v>
      </c>
      <c r="C1156" s="26" t="s">
        <v>1345</v>
      </c>
      <c r="D1156" s="26">
        <v>162</v>
      </c>
      <c r="E1156" s="26">
        <v>0</v>
      </c>
      <c r="F1156" s="26">
        <v>9.61</v>
      </c>
      <c r="G1156" s="26">
        <v>9.35</v>
      </c>
      <c r="I1156" s="26" t="str">
        <f t="shared" si="35"/>
        <v>Y</v>
      </c>
    </row>
    <row r="1157" spans="1:9" x14ac:dyDescent="0.15">
      <c r="A1157" s="26">
        <f t="shared" si="34"/>
        <v>5514</v>
      </c>
      <c r="B1157" s="27" t="s">
        <v>2959</v>
      </c>
      <c r="C1157" s="26" t="s">
        <v>1346</v>
      </c>
      <c r="D1157" s="26">
        <v>207</v>
      </c>
      <c r="E1157" s="26">
        <v>0</v>
      </c>
      <c r="F1157" s="26">
        <v>10.4</v>
      </c>
      <c r="G1157" s="26">
        <v>9.43</v>
      </c>
      <c r="I1157" s="26" t="str">
        <f t="shared" si="35"/>
        <v>Y</v>
      </c>
    </row>
    <row r="1158" spans="1:9" x14ac:dyDescent="0.15">
      <c r="A1158" s="26">
        <f t="shared" si="34"/>
        <v>5515</v>
      </c>
      <c r="B1158" s="27" t="s">
        <v>2960</v>
      </c>
      <c r="C1158" s="26" t="s">
        <v>1347</v>
      </c>
      <c r="D1158" s="26">
        <v>-2</v>
      </c>
      <c r="E1158" s="26">
        <v>0</v>
      </c>
      <c r="F1158" s="26">
        <v>8.92</v>
      </c>
      <c r="G1158" s="26">
        <v>8.8000000000000007</v>
      </c>
      <c r="I1158" s="26" t="str">
        <f t="shared" si="35"/>
        <v>Y</v>
      </c>
    </row>
    <row r="1159" spans="1:9" x14ac:dyDescent="0.15">
      <c r="A1159" s="26">
        <f t="shared" ref="A1159:A1222" si="36">VALUE(B1159)</f>
        <v>5516</v>
      </c>
      <c r="B1159" s="27" t="s">
        <v>2961</v>
      </c>
      <c r="C1159" s="26" t="s">
        <v>1348</v>
      </c>
      <c r="D1159" s="26">
        <v>6</v>
      </c>
      <c r="E1159" s="26">
        <v>0</v>
      </c>
      <c r="F1159" s="26">
        <v>10.1</v>
      </c>
      <c r="G1159" s="26">
        <v>9.4</v>
      </c>
      <c r="I1159" s="26" t="str">
        <f t="shared" ref="I1159:I1222" si="37">IF(F1159&gt;G1159,"Y","-")</f>
        <v>Y</v>
      </c>
    </row>
    <row r="1160" spans="1:9" x14ac:dyDescent="0.15">
      <c r="A1160" s="26">
        <f t="shared" si="36"/>
        <v>5519</v>
      </c>
      <c r="B1160" s="27" t="s">
        <v>2962</v>
      </c>
      <c r="C1160" s="26" t="s">
        <v>1349</v>
      </c>
      <c r="D1160" s="26">
        <v>50</v>
      </c>
      <c r="E1160" s="26">
        <v>0</v>
      </c>
      <c r="F1160" s="26">
        <v>13</v>
      </c>
      <c r="G1160" s="26">
        <v>12.62</v>
      </c>
      <c r="I1160" s="26" t="str">
        <f t="shared" si="37"/>
        <v>Y</v>
      </c>
    </row>
    <row r="1161" spans="1:9" x14ac:dyDescent="0.15">
      <c r="A1161" s="26">
        <f t="shared" si="36"/>
        <v>5520</v>
      </c>
      <c r="B1161" s="27" t="s">
        <v>2963</v>
      </c>
      <c r="C1161" s="26" t="s">
        <v>1350</v>
      </c>
      <c r="D1161" s="26">
        <v>0</v>
      </c>
      <c r="E1161" s="26">
        <v>0</v>
      </c>
      <c r="F1161" s="26">
        <v>27.3</v>
      </c>
      <c r="G1161" s="26">
        <v>26.68</v>
      </c>
      <c r="I1161" s="26" t="str">
        <f t="shared" si="37"/>
        <v>Y</v>
      </c>
    </row>
    <row r="1162" spans="1:9" x14ac:dyDescent="0.15">
      <c r="A1162" s="26">
        <f t="shared" si="36"/>
        <v>5521</v>
      </c>
      <c r="B1162" s="27" t="s">
        <v>2964</v>
      </c>
      <c r="C1162" s="26" t="s">
        <v>1351</v>
      </c>
      <c r="D1162" s="26">
        <v>69</v>
      </c>
      <c r="E1162" s="26">
        <v>0</v>
      </c>
      <c r="F1162" s="26">
        <v>11.6</v>
      </c>
      <c r="G1162" s="26">
        <v>11.41</v>
      </c>
      <c r="I1162" s="26" t="str">
        <f t="shared" si="37"/>
        <v>Y</v>
      </c>
    </row>
    <row r="1163" spans="1:9" x14ac:dyDescent="0.15">
      <c r="A1163" s="26">
        <f t="shared" si="36"/>
        <v>5522</v>
      </c>
      <c r="B1163" s="27" t="s">
        <v>2965</v>
      </c>
      <c r="C1163" s="26" t="s">
        <v>1352</v>
      </c>
      <c r="D1163" s="26">
        <v>-771</v>
      </c>
      <c r="E1163" s="26">
        <v>0</v>
      </c>
      <c r="F1163" s="26">
        <v>35.6</v>
      </c>
      <c r="G1163" s="26">
        <v>34.29</v>
      </c>
      <c r="I1163" s="26" t="str">
        <f t="shared" si="37"/>
        <v>Y</v>
      </c>
    </row>
    <row r="1164" spans="1:9" x14ac:dyDescent="0.15">
      <c r="A1164" s="26">
        <f t="shared" si="36"/>
        <v>5523</v>
      </c>
      <c r="B1164" s="27" t="s">
        <v>2966</v>
      </c>
      <c r="C1164" s="26" t="s">
        <v>1353</v>
      </c>
      <c r="D1164" s="26">
        <v>5</v>
      </c>
      <c r="E1164" s="26">
        <v>0</v>
      </c>
      <c r="F1164" s="26">
        <v>8.69</v>
      </c>
      <c r="G1164" s="26">
        <v>7.88</v>
      </c>
      <c r="I1164" s="26" t="str">
        <f t="shared" si="37"/>
        <v>Y</v>
      </c>
    </row>
    <row r="1165" spans="1:9" x14ac:dyDescent="0.15">
      <c r="A1165" s="26">
        <f t="shared" si="36"/>
        <v>5525</v>
      </c>
      <c r="B1165" s="27" t="s">
        <v>2967</v>
      </c>
      <c r="C1165" s="26" t="s">
        <v>1354</v>
      </c>
      <c r="D1165" s="26">
        <v>26</v>
      </c>
      <c r="E1165" s="26">
        <v>0</v>
      </c>
      <c r="F1165" s="26">
        <v>16</v>
      </c>
      <c r="G1165" s="26">
        <v>15.36</v>
      </c>
      <c r="I1165" s="26" t="str">
        <f t="shared" si="37"/>
        <v>Y</v>
      </c>
    </row>
    <row r="1166" spans="1:9" x14ac:dyDescent="0.15">
      <c r="A1166" s="26">
        <f t="shared" si="36"/>
        <v>5529</v>
      </c>
      <c r="B1166" s="27" t="s">
        <v>2968</v>
      </c>
      <c r="C1166" s="26" t="s">
        <v>1355</v>
      </c>
      <c r="D1166" s="26">
        <v>0</v>
      </c>
      <c r="E1166" s="26">
        <v>0</v>
      </c>
      <c r="F1166" s="26">
        <v>9.92</v>
      </c>
      <c r="G1166" s="26">
        <v>8.2100000000000009</v>
      </c>
      <c r="I1166" s="26" t="str">
        <f t="shared" si="37"/>
        <v>Y</v>
      </c>
    </row>
    <row r="1167" spans="1:9" x14ac:dyDescent="0.15">
      <c r="A1167" s="26">
        <f t="shared" si="36"/>
        <v>5530</v>
      </c>
      <c r="B1167" s="27" t="s">
        <v>2969</v>
      </c>
      <c r="C1167" s="26" t="s">
        <v>1356</v>
      </c>
      <c r="D1167" s="26">
        <v>-160</v>
      </c>
      <c r="E1167" s="26">
        <v>0</v>
      </c>
      <c r="F1167" s="26">
        <v>57.9</v>
      </c>
      <c r="G1167" s="26">
        <v>57.84</v>
      </c>
      <c r="I1167" s="26" t="str">
        <f t="shared" si="37"/>
        <v>Y</v>
      </c>
    </row>
    <row r="1168" spans="1:9" x14ac:dyDescent="0.15">
      <c r="A1168" s="26">
        <f t="shared" si="36"/>
        <v>5531</v>
      </c>
      <c r="B1168" s="27" t="s">
        <v>2970</v>
      </c>
      <c r="C1168" s="26" t="s">
        <v>1357</v>
      </c>
      <c r="D1168" s="26">
        <v>214</v>
      </c>
      <c r="E1168" s="26">
        <v>0</v>
      </c>
      <c r="F1168" s="26">
        <v>12.9</v>
      </c>
      <c r="G1168" s="26">
        <v>11.33</v>
      </c>
      <c r="I1168" s="26" t="str">
        <f t="shared" si="37"/>
        <v>Y</v>
      </c>
    </row>
    <row r="1169" spans="1:9" x14ac:dyDescent="0.15">
      <c r="A1169" s="26">
        <f t="shared" si="36"/>
        <v>5533</v>
      </c>
      <c r="B1169" s="27" t="s">
        <v>2971</v>
      </c>
      <c r="C1169" s="26" t="s">
        <v>1358</v>
      </c>
      <c r="D1169" s="26">
        <v>15</v>
      </c>
      <c r="E1169" s="26">
        <v>0</v>
      </c>
      <c r="F1169" s="26">
        <v>17.350000000000001</v>
      </c>
      <c r="G1169" s="26">
        <v>17.07</v>
      </c>
      <c r="I1169" s="26" t="str">
        <f t="shared" si="37"/>
        <v>Y</v>
      </c>
    </row>
    <row r="1170" spans="1:9" x14ac:dyDescent="0.15">
      <c r="A1170" s="26">
        <f t="shared" si="36"/>
        <v>5534</v>
      </c>
      <c r="B1170" s="27" t="s">
        <v>2972</v>
      </c>
      <c r="C1170" s="26" t="s">
        <v>1359</v>
      </c>
      <c r="D1170" s="26">
        <v>55</v>
      </c>
      <c r="E1170" s="26">
        <v>0</v>
      </c>
      <c r="F1170" s="26">
        <v>47.9</v>
      </c>
      <c r="G1170" s="26">
        <v>44.19</v>
      </c>
      <c r="I1170" s="26" t="str">
        <f t="shared" si="37"/>
        <v>Y</v>
      </c>
    </row>
    <row r="1171" spans="1:9" x14ac:dyDescent="0.15">
      <c r="A1171" s="26">
        <f t="shared" si="36"/>
        <v>5536</v>
      </c>
      <c r="B1171" s="27" t="s">
        <v>2973</v>
      </c>
      <c r="C1171" s="26" t="s">
        <v>1360</v>
      </c>
      <c r="D1171" s="26">
        <v>31</v>
      </c>
      <c r="E1171" s="26">
        <v>0</v>
      </c>
      <c r="F1171" s="26">
        <v>88.4</v>
      </c>
      <c r="G1171" s="26">
        <v>85.47</v>
      </c>
      <c r="I1171" s="26" t="str">
        <f t="shared" si="37"/>
        <v>Y</v>
      </c>
    </row>
    <row r="1172" spans="1:9" x14ac:dyDescent="0.15">
      <c r="A1172" s="26">
        <f t="shared" si="36"/>
        <v>5538</v>
      </c>
      <c r="B1172" s="27" t="s">
        <v>2974</v>
      </c>
      <c r="C1172" s="26" t="s">
        <v>1361</v>
      </c>
      <c r="D1172" s="26">
        <v>1</v>
      </c>
      <c r="E1172" s="26">
        <v>0</v>
      </c>
      <c r="F1172" s="26">
        <v>25.8</v>
      </c>
      <c r="G1172" s="26">
        <v>25.53</v>
      </c>
      <c r="I1172" s="26" t="str">
        <f t="shared" si="37"/>
        <v>Y</v>
      </c>
    </row>
    <row r="1173" spans="1:9" x14ac:dyDescent="0.15">
      <c r="A1173" s="26">
        <f t="shared" si="36"/>
        <v>5601</v>
      </c>
      <c r="B1173" s="27" t="s">
        <v>2975</v>
      </c>
      <c r="C1173" s="26" t="s">
        <v>1362</v>
      </c>
      <c r="D1173" s="26">
        <v>0</v>
      </c>
      <c r="E1173" s="26">
        <v>0</v>
      </c>
      <c r="F1173" s="26">
        <v>26.95</v>
      </c>
      <c r="G1173" s="26">
        <v>26.88</v>
      </c>
      <c r="I1173" s="26" t="str">
        <f t="shared" si="37"/>
        <v>Y</v>
      </c>
    </row>
    <row r="1174" spans="1:9" x14ac:dyDescent="0.15">
      <c r="A1174" s="26">
        <f t="shared" si="36"/>
        <v>5603</v>
      </c>
      <c r="B1174" s="27" t="s">
        <v>2976</v>
      </c>
      <c r="C1174" s="26" t="s">
        <v>1363</v>
      </c>
      <c r="D1174" s="26">
        <v>0</v>
      </c>
      <c r="E1174" s="26">
        <v>0</v>
      </c>
      <c r="F1174" s="26">
        <v>15.4</v>
      </c>
      <c r="G1174" s="26">
        <v>15.23</v>
      </c>
      <c r="I1174" s="26" t="str">
        <f t="shared" si="37"/>
        <v>Y</v>
      </c>
    </row>
    <row r="1175" spans="1:9" x14ac:dyDescent="0.15">
      <c r="A1175" s="26">
        <f t="shared" si="36"/>
        <v>5604</v>
      </c>
      <c r="B1175" s="27" t="s">
        <v>2977</v>
      </c>
      <c r="C1175" s="26" t="s">
        <v>1364</v>
      </c>
      <c r="D1175" s="26">
        <v>0</v>
      </c>
      <c r="E1175" s="26">
        <v>0</v>
      </c>
      <c r="F1175" s="26">
        <v>39.950000000000003</v>
      </c>
      <c r="G1175" s="26">
        <v>39.049999999999997</v>
      </c>
      <c r="I1175" s="26" t="str">
        <f t="shared" si="37"/>
        <v>Y</v>
      </c>
    </row>
    <row r="1176" spans="1:9" x14ac:dyDescent="0.15">
      <c r="A1176" s="26">
        <f t="shared" si="36"/>
        <v>5607</v>
      </c>
      <c r="B1176" s="27" t="s">
        <v>2978</v>
      </c>
      <c r="C1176" s="26" t="s">
        <v>1365</v>
      </c>
      <c r="D1176" s="26">
        <v>0</v>
      </c>
      <c r="E1176" s="26">
        <v>0</v>
      </c>
      <c r="F1176" s="26">
        <v>15.3</v>
      </c>
      <c r="G1176" s="26">
        <v>15.03</v>
      </c>
      <c r="I1176" s="26" t="str">
        <f t="shared" si="37"/>
        <v>Y</v>
      </c>
    </row>
    <row r="1177" spans="1:9" x14ac:dyDescent="0.15">
      <c r="A1177" s="26">
        <f t="shared" si="36"/>
        <v>5608</v>
      </c>
      <c r="B1177" s="27" t="s">
        <v>2979</v>
      </c>
      <c r="C1177" s="26" t="s">
        <v>1366</v>
      </c>
      <c r="D1177" s="26">
        <v>14</v>
      </c>
      <c r="E1177" s="26">
        <v>0</v>
      </c>
      <c r="F1177" s="26">
        <v>13.2</v>
      </c>
      <c r="G1177" s="26">
        <v>12.53</v>
      </c>
      <c r="I1177" s="26" t="str">
        <f t="shared" si="37"/>
        <v>Y</v>
      </c>
    </row>
    <row r="1178" spans="1:9" x14ac:dyDescent="0.15">
      <c r="A1178" s="26">
        <f t="shared" si="36"/>
        <v>5609</v>
      </c>
      <c r="B1178" s="27" t="s">
        <v>2980</v>
      </c>
      <c r="C1178" s="26" t="s">
        <v>1367</v>
      </c>
      <c r="D1178" s="26">
        <v>0</v>
      </c>
      <c r="E1178" s="26">
        <v>0</v>
      </c>
      <c r="F1178" s="26">
        <v>16.649999999999999</v>
      </c>
      <c r="G1178" s="26">
        <v>16.079999999999998</v>
      </c>
      <c r="I1178" s="26" t="str">
        <f t="shared" si="37"/>
        <v>Y</v>
      </c>
    </row>
    <row r="1179" spans="1:9" x14ac:dyDescent="0.15">
      <c r="A1179" s="26">
        <f t="shared" si="36"/>
        <v>5701</v>
      </c>
      <c r="B1179" s="27" t="s">
        <v>2981</v>
      </c>
      <c r="C1179" s="26" t="s">
        <v>1368</v>
      </c>
      <c r="D1179" s="26">
        <v>-78</v>
      </c>
      <c r="E1179" s="26">
        <v>0</v>
      </c>
      <c r="F1179" s="26">
        <v>3.12</v>
      </c>
      <c r="G1179" s="26">
        <v>3.03</v>
      </c>
      <c r="I1179" s="26" t="str">
        <f t="shared" si="37"/>
        <v>Y</v>
      </c>
    </row>
    <row r="1180" spans="1:9" x14ac:dyDescent="0.15">
      <c r="A1180" s="26">
        <f t="shared" si="36"/>
        <v>5703</v>
      </c>
      <c r="B1180" s="27" t="s">
        <v>2982</v>
      </c>
      <c r="C1180" s="26" t="s">
        <v>1369</v>
      </c>
      <c r="D1180" s="26">
        <v>0</v>
      </c>
      <c r="E1180" s="26">
        <v>0</v>
      </c>
      <c r="F1180" s="26">
        <v>21.7</v>
      </c>
      <c r="G1180" s="26">
        <v>21.75</v>
      </c>
      <c r="I1180" s="26" t="str">
        <f t="shared" si="37"/>
        <v>-</v>
      </c>
    </row>
    <row r="1181" spans="1:9" x14ac:dyDescent="0.15">
      <c r="A1181" s="26">
        <f t="shared" si="36"/>
        <v>5704</v>
      </c>
      <c r="B1181" s="27" t="s">
        <v>2983</v>
      </c>
      <c r="C1181" s="26" t="s">
        <v>1370</v>
      </c>
      <c r="D1181" s="26">
        <v>2</v>
      </c>
      <c r="E1181" s="26">
        <v>0</v>
      </c>
      <c r="F1181" s="26">
        <v>47.8</v>
      </c>
      <c r="G1181" s="26">
        <v>41.77</v>
      </c>
      <c r="I1181" s="26" t="str">
        <f t="shared" si="37"/>
        <v>Y</v>
      </c>
    </row>
    <row r="1182" spans="1:9" x14ac:dyDescent="0.15">
      <c r="A1182" s="26">
        <f t="shared" si="36"/>
        <v>5706</v>
      </c>
      <c r="B1182" s="27" t="s">
        <v>2984</v>
      </c>
      <c r="C1182" s="26" t="s">
        <v>1371</v>
      </c>
      <c r="D1182" s="26">
        <v>12</v>
      </c>
      <c r="E1182" s="26">
        <v>0</v>
      </c>
      <c r="F1182" s="26">
        <v>38.85</v>
      </c>
      <c r="G1182" s="26">
        <v>37.93</v>
      </c>
      <c r="I1182" s="26" t="str">
        <f t="shared" si="37"/>
        <v>Y</v>
      </c>
    </row>
    <row r="1183" spans="1:9" x14ac:dyDescent="0.15">
      <c r="A1183" s="26">
        <f t="shared" si="36"/>
        <v>5820</v>
      </c>
      <c r="B1183" s="27" t="s">
        <v>2985</v>
      </c>
      <c r="C1183" s="26" t="s">
        <v>1372</v>
      </c>
      <c r="D1183" s="26">
        <v>128</v>
      </c>
      <c r="E1183" s="26">
        <v>0</v>
      </c>
      <c r="F1183" s="26">
        <v>7.31</v>
      </c>
      <c r="G1183" s="26">
        <v>7.28</v>
      </c>
      <c r="I1183" s="26" t="str">
        <f t="shared" si="37"/>
        <v>Y</v>
      </c>
    </row>
    <row r="1184" spans="1:9" x14ac:dyDescent="0.15">
      <c r="A1184" s="26">
        <f t="shared" si="36"/>
        <v>5871</v>
      </c>
      <c r="B1184" s="27" t="s">
        <v>2986</v>
      </c>
      <c r="C1184" s="26" t="s">
        <v>1373</v>
      </c>
      <c r="D1184" s="26">
        <v>1334</v>
      </c>
      <c r="E1184" s="26">
        <v>47</v>
      </c>
      <c r="F1184" s="26">
        <v>58.2</v>
      </c>
      <c r="G1184" s="26">
        <v>55.05</v>
      </c>
      <c r="I1184" s="26" t="str">
        <f t="shared" si="37"/>
        <v>Y</v>
      </c>
    </row>
    <row r="1185" spans="1:9" x14ac:dyDescent="0.15">
      <c r="A1185" s="26">
        <f t="shared" si="36"/>
        <v>5878</v>
      </c>
      <c r="B1185" s="27" t="s">
        <v>2987</v>
      </c>
      <c r="C1185" s="26" t="s">
        <v>1374</v>
      </c>
      <c r="D1185" s="26">
        <v>-1</v>
      </c>
      <c r="E1185" s="26">
        <v>0</v>
      </c>
      <c r="F1185" s="26">
        <v>44.95</v>
      </c>
      <c r="G1185" s="26">
        <v>44.2</v>
      </c>
      <c r="I1185" s="26" t="str">
        <f t="shared" si="37"/>
        <v>Y</v>
      </c>
    </row>
    <row r="1186" spans="1:9" x14ac:dyDescent="0.15">
      <c r="A1186" s="26">
        <f t="shared" si="36"/>
        <v>5880</v>
      </c>
      <c r="B1186" s="27" t="s">
        <v>2988</v>
      </c>
      <c r="C1186" s="26" t="s">
        <v>1375</v>
      </c>
      <c r="D1186" s="26">
        <v>4099</v>
      </c>
      <c r="E1186" s="26">
        <v>0</v>
      </c>
      <c r="F1186" s="26">
        <v>14.4</v>
      </c>
      <c r="G1186" s="26">
        <v>14.1</v>
      </c>
      <c r="I1186" s="26" t="str">
        <f t="shared" si="37"/>
        <v>Y</v>
      </c>
    </row>
    <row r="1187" spans="1:9" x14ac:dyDescent="0.15">
      <c r="A1187" s="26">
        <f t="shared" si="36"/>
        <v>5902</v>
      </c>
      <c r="B1187" s="27" t="s">
        <v>2989</v>
      </c>
      <c r="C1187" s="26" t="s">
        <v>1376</v>
      </c>
      <c r="D1187" s="26">
        <v>1</v>
      </c>
      <c r="E1187" s="26">
        <v>0</v>
      </c>
      <c r="F1187" s="26">
        <v>10.45</v>
      </c>
      <c r="G1187" s="26">
        <v>10.26</v>
      </c>
      <c r="I1187" s="26" t="str">
        <f t="shared" si="37"/>
        <v>Y</v>
      </c>
    </row>
    <row r="1188" spans="1:9" x14ac:dyDescent="0.15">
      <c r="A1188" s="26">
        <f t="shared" si="36"/>
        <v>5903</v>
      </c>
      <c r="B1188" s="27" t="s">
        <v>2990</v>
      </c>
      <c r="C1188" s="26" t="s">
        <v>1377</v>
      </c>
      <c r="D1188" s="26">
        <v>10</v>
      </c>
      <c r="E1188" s="26">
        <v>-15</v>
      </c>
      <c r="F1188" s="26">
        <v>208</v>
      </c>
      <c r="G1188" s="26">
        <v>204.17</v>
      </c>
      <c r="I1188" s="26" t="str">
        <f t="shared" si="37"/>
        <v>Y</v>
      </c>
    </row>
    <row r="1189" spans="1:9" x14ac:dyDescent="0.15">
      <c r="A1189" s="26">
        <f t="shared" si="36"/>
        <v>5904</v>
      </c>
      <c r="B1189" s="27" t="s">
        <v>2991</v>
      </c>
      <c r="C1189" s="26" t="s">
        <v>1378</v>
      </c>
      <c r="D1189" s="26">
        <v>-9</v>
      </c>
      <c r="E1189" s="26">
        <v>42</v>
      </c>
      <c r="F1189" s="26">
        <v>350</v>
      </c>
      <c r="G1189" s="26">
        <v>338</v>
      </c>
      <c r="I1189" s="26" t="str">
        <f t="shared" si="37"/>
        <v>Y</v>
      </c>
    </row>
    <row r="1190" spans="1:9" x14ac:dyDescent="0.15">
      <c r="A1190" s="26">
        <f t="shared" si="36"/>
        <v>5905</v>
      </c>
      <c r="B1190" s="27" t="s">
        <v>2992</v>
      </c>
      <c r="C1190" s="26" t="s">
        <v>1379</v>
      </c>
      <c r="D1190" s="26">
        <v>-12</v>
      </c>
      <c r="E1190" s="26">
        <v>0</v>
      </c>
      <c r="F1190" s="26">
        <v>8.9</v>
      </c>
      <c r="G1190" s="26">
        <v>8.66</v>
      </c>
      <c r="I1190" s="26" t="str">
        <f t="shared" si="37"/>
        <v>Y</v>
      </c>
    </row>
    <row r="1191" spans="1:9" x14ac:dyDescent="0.15">
      <c r="A1191" s="26">
        <f t="shared" si="36"/>
        <v>5906</v>
      </c>
      <c r="B1191" s="27" t="s">
        <v>2993</v>
      </c>
      <c r="C1191" s="26" t="s">
        <v>1380</v>
      </c>
      <c r="D1191" s="26">
        <v>0</v>
      </c>
      <c r="E1191" s="26">
        <v>0</v>
      </c>
      <c r="F1191" s="26">
        <v>2.2999999999999998</v>
      </c>
      <c r="G1191" s="26">
        <v>2.17</v>
      </c>
      <c r="I1191" s="26" t="str">
        <f t="shared" si="37"/>
        <v>Y</v>
      </c>
    </row>
    <row r="1192" spans="1:9" x14ac:dyDescent="0.15">
      <c r="A1192" s="26">
        <f t="shared" si="36"/>
        <v>5907</v>
      </c>
      <c r="B1192" s="27" t="s">
        <v>2994</v>
      </c>
      <c r="C1192" s="26" t="s">
        <v>1381</v>
      </c>
      <c r="D1192" s="26">
        <v>-173</v>
      </c>
      <c r="E1192" s="26">
        <v>0</v>
      </c>
      <c r="F1192" s="26">
        <v>25.75</v>
      </c>
      <c r="G1192" s="26">
        <v>25.04</v>
      </c>
      <c r="I1192" s="26" t="str">
        <f t="shared" si="37"/>
        <v>Y</v>
      </c>
    </row>
    <row r="1193" spans="1:9" x14ac:dyDescent="0.15">
      <c r="A1193" s="26">
        <f t="shared" si="36"/>
        <v>6005</v>
      </c>
      <c r="B1193" s="27" t="s">
        <v>2995</v>
      </c>
      <c r="C1193" s="26" t="s">
        <v>1382</v>
      </c>
      <c r="D1193" s="26">
        <v>-500</v>
      </c>
      <c r="E1193" s="26">
        <v>0</v>
      </c>
      <c r="F1193" s="26">
        <v>9.11</v>
      </c>
      <c r="G1193" s="26">
        <v>8.7899999999999991</v>
      </c>
      <c r="I1193" s="26" t="str">
        <f t="shared" si="37"/>
        <v>Y</v>
      </c>
    </row>
    <row r="1194" spans="1:9" x14ac:dyDescent="0.15">
      <c r="A1194" s="26">
        <f t="shared" si="36"/>
        <v>6015</v>
      </c>
      <c r="B1194" s="27" t="s">
        <v>2996</v>
      </c>
      <c r="C1194" s="26" t="s">
        <v>1383</v>
      </c>
      <c r="D1194" s="26">
        <v>-21</v>
      </c>
      <c r="E1194" s="26">
        <v>0</v>
      </c>
      <c r="F1194" s="26">
        <v>6.97</v>
      </c>
      <c r="G1194" s="26">
        <v>6.8</v>
      </c>
      <c r="I1194" s="26" t="str">
        <f t="shared" si="37"/>
        <v>Y</v>
      </c>
    </row>
    <row r="1195" spans="1:9" x14ac:dyDescent="0.15">
      <c r="A1195" s="26">
        <f t="shared" si="36"/>
        <v>6016</v>
      </c>
      <c r="B1195" s="27" t="s">
        <v>2997</v>
      </c>
      <c r="C1195" s="26" t="s">
        <v>1384</v>
      </c>
      <c r="D1195" s="26">
        <v>56</v>
      </c>
      <c r="E1195" s="26">
        <v>0</v>
      </c>
      <c r="F1195" s="26">
        <v>6.89</v>
      </c>
      <c r="G1195" s="26">
        <v>6.78</v>
      </c>
      <c r="I1195" s="26" t="str">
        <f t="shared" si="37"/>
        <v>Y</v>
      </c>
    </row>
    <row r="1196" spans="1:9" x14ac:dyDescent="0.15">
      <c r="A1196" s="26">
        <f t="shared" si="36"/>
        <v>6020</v>
      </c>
      <c r="B1196" s="27" t="s">
        <v>2998</v>
      </c>
      <c r="C1196" s="26" t="s">
        <v>1385</v>
      </c>
      <c r="D1196" s="26">
        <v>0</v>
      </c>
      <c r="E1196" s="26">
        <v>0</v>
      </c>
      <c r="F1196" s="26">
        <v>13.65</v>
      </c>
      <c r="G1196" s="26">
        <v>13.25</v>
      </c>
      <c r="I1196" s="26" t="str">
        <f t="shared" si="37"/>
        <v>Y</v>
      </c>
    </row>
    <row r="1197" spans="1:9" x14ac:dyDescent="0.15">
      <c r="A1197" s="26">
        <f t="shared" si="36"/>
        <v>6021</v>
      </c>
      <c r="B1197" s="27" t="s">
        <v>2999</v>
      </c>
      <c r="C1197" s="26" t="s">
        <v>1386</v>
      </c>
      <c r="D1197" s="26">
        <v>14</v>
      </c>
      <c r="E1197" s="26">
        <v>0</v>
      </c>
      <c r="F1197" s="26">
        <v>10.7</v>
      </c>
      <c r="G1197" s="26">
        <v>10.16</v>
      </c>
      <c r="I1197" s="26" t="str">
        <f t="shared" si="37"/>
        <v>Y</v>
      </c>
    </row>
    <row r="1198" spans="1:9" x14ac:dyDescent="0.15">
      <c r="A1198" s="26">
        <f t="shared" si="36"/>
        <v>6022</v>
      </c>
      <c r="B1198" s="27" t="s">
        <v>3000</v>
      </c>
      <c r="C1198" s="26" t="s">
        <v>1387</v>
      </c>
      <c r="D1198" s="26">
        <v>46</v>
      </c>
      <c r="E1198" s="26">
        <v>0</v>
      </c>
      <c r="F1198" s="26">
        <v>9.58</v>
      </c>
      <c r="G1198" s="26">
        <v>9.32</v>
      </c>
      <c r="I1198" s="26" t="str">
        <f t="shared" si="37"/>
        <v>Y</v>
      </c>
    </row>
    <row r="1199" spans="1:9" x14ac:dyDescent="0.15">
      <c r="A1199" s="26">
        <f t="shared" si="36"/>
        <v>6023</v>
      </c>
      <c r="B1199" s="27" t="s">
        <v>3001</v>
      </c>
      <c r="C1199" s="26" t="s">
        <v>1388</v>
      </c>
      <c r="D1199" s="26">
        <v>-16</v>
      </c>
      <c r="E1199" s="26">
        <v>0</v>
      </c>
      <c r="F1199" s="26">
        <v>39.4</v>
      </c>
      <c r="G1199" s="26">
        <v>38.25</v>
      </c>
      <c r="I1199" s="26" t="str">
        <f t="shared" si="37"/>
        <v>Y</v>
      </c>
    </row>
    <row r="1200" spans="1:9" x14ac:dyDescent="0.15">
      <c r="A1200" s="26">
        <f t="shared" si="36"/>
        <v>6024</v>
      </c>
      <c r="B1200" s="27" t="s">
        <v>3002</v>
      </c>
      <c r="C1200" s="26" t="s">
        <v>1389</v>
      </c>
      <c r="D1200" s="26">
        <v>21</v>
      </c>
      <c r="E1200" s="26">
        <v>0</v>
      </c>
      <c r="F1200" s="26">
        <v>36</v>
      </c>
      <c r="G1200" s="26">
        <v>33.5</v>
      </c>
      <c r="I1200" s="26" t="str">
        <f t="shared" si="37"/>
        <v>Y</v>
      </c>
    </row>
    <row r="1201" spans="1:9" x14ac:dyDescent="0.15">
      <c r="A1201" s="26">
        <f t="shared" si="36"/>
        <v>6026</v>
      </c>
      <c r="B1201" s="27" t="s">
        <v>3003</v>
      </c>
      <c r="C1201" s="26" t="s">
        <v>1390</v>
      </c>
      <c r="D1201" s="26">
        <v>-16</v>
      </c>
      <c r="E1201" s="26">
        <v>0</v>
      </c>
      <c r="F1201" s="26">
        <v>8.8000000000000007</v>
      </c>
      <c r="G1201" s="26">
        <v>8.86</v>
      </c>
      <c r="I1201" s="26" t="str">
        <f t="shared" si="37"/>
        <v>-</v>
      </c>
    </row>
    <row r="1202" spans="1:9" x14ac:dyDescent="0.15">
      <c r="A1202" s="26">
        <f t="shared" si="36"/>
        <v>6101</v>
      </c>
      <c r="B1202" s="27" t="s">
        <v>3004</v>
      </c>
      <c r="C1202" s="26" t="s">
        <v>1391</v>
      </c>
      <c r="D1202" s="26">
        <v>1</v>
      </c>
      <c r="E1202" s="26">
        <v>0</v>
      </c>
      <c r="F1202" s="26">
        <v>20</v>
      </c>
      <c r="G1202" s="26">
        <v>19.690000000000001</v>
      </c>
      <c r="I1202" s="26" t="str">
        <f t="shared" si="37"/>
        <v>Y</v>
      </c>
    </row>
    <row r="1203" spans="1:9" x14ac:dyDescent="0.15">
      <c r="A1203" s="26">
        <f t="shared" si="36"/>
        <v>6103</v>
      </c>
      <c r="B1203" s="27" t="s">
        <v>3005</v>
      </c>
      <c r="C1203" s="26" t="s">
        <v>1392</v>
      </c>
      <c r="D1203" s="26">
        <v>0</v>
      </c>
      <c r="E1203" s="26">
        <v>0</v>
      </c>
      <c r="F1203" s="26">
        <v>7.58</v>
      </c>
      <c r="G1203" s="26">
        <v>7.66</v>
      </c>
      <c r="I1203" s="26" t="str">
        <f t="shared" si="37"/>
        <v>-</v>
      </c>
    </row>
    <row r="1204" spans="1:9" x14ac:dyDescent="0.15">
      <c r="A1204" s="26">
        <f t="shared" si="36"/>
        <v>6104</v>
      </c>
      <c r="B1204" s="27" t="s">
        <v>3006</v>
      </c>
      <c r="C1204" s="26" t="s">
        <v>1393</v>
      </c>
      <c r="D1204" s="26">
        <v>-8</v>
      </c>
      <c r="E1204" s="26">
        <v>0</v>
      </c>
      <c r="F1204" s="26">
        <v>42</v>
      </c>
      <c r="G1204" s="26">
        <v>42.02</v>
      </c>
      <c r="I1204" s="26" t="str">
        <f t="shared" si="37"/>
        <v>-</v>
      </c>
    </row>
    <row r="1205" spans="1:9" x14ac:dyDescent="0.15">
      <c r="A1205" s="26">
        <f t="shared" si="36"/>
        <v>6105</v>
      </c>
      <c r="B1205" s="27" t="s">
        <v>3007</v>
      </c>
      <c r="C1205" s="26" t="s">
        <v>1394</v>
      </c>
      <c r="D1205" s="26">
        <v>16</v>
      </c>
      <c r="E1205" s="26">
        <v>0</v>
      </c>
      <c r="F1205" s="26">
        <v>43.2</v>
      </c>
      <c r="G1205" s="26">
        <v>43.15</v>
      </c>
      <c r="I1205" s="26" t="str">
        <f t="shared" si="37"/>
        <v>Y</v>
      </c>
    </row>
    <row r="1206" spans="1:9" x14ac:dyDescent="0.15">
      <c r="A1206" s="26">
        <f t="shared" si="36"/>
        <v>6107</v>
      </c>
      <c r="B1206" s="27" t="s">
        <v>3008</v>
      </c>
      <c r="C1206" s="26" t="s">
        <v>1395</v>
      </c>
      <c r="D1206" s="26">
        <v>-150</v>
      </c>
      <c r="E1206" s="26">
        <v>0</v>
      </c>
      <c r="F1206" s="26">
        <v>93</v>
      </c>
      <c r="G1206" s="26">
        <v>92.92</v>
      </c>
      <c r="I1206" s="26" t="str">
        <f t="shared" si="37"/>
        <v>Y</v>
      </c>
    </row>
    <row r="1207" spans="1:9" x14ac:dyDescent="0.15">
      <c r="A1207" s="26">
        <f t="shared" si="36"/>
        <v>6108</v>
      </c>
      <c r="B1207" s="27" t="s">
        <v>3009</v>
      </c>
      <c r="C1207" s="26" t="s">
        <v>1396</v>
      </c>
      <c r="D1207" s="26">
        <v>-43</v>
      </c>
      <c r="E1207" s="26">
        <v>0</v>
      </c>
      <c r="F1207" s="26">
        <v>14.7</v>
      </c>
      <c r="G1207" s="26">
        <v>13.5</v>
      </c>
      <c r="I1207" s="26" t="str">
        <f t="shared" si="37"/>
        <v>Y</v>
      </c>
    </row>
    <row r="1208" spans="1:9" x14ac:dyDescent="0.15">
      <c r="A1208" s="26">
        <f t="shared" si="36"/>
        <v>6109</v>
      </c>
      <c r="B1208" s="27" t="s">
        <v>3010</v>
      </c>
      <c r="C1208" s="26" t="s">
        <v>1397</v>
      </c>
      <c r="D1208" s="26">
        <v>-4</v>
      </c>
      <c r="E1208" s="26">
        <v>0</v>
      </c>
      <c r="F1208" s="26">
        <v>14.25</v>
      </c>
      <c r="G1208" s="26">
        <v>14.05</v>
      </c>
      <c r="I1208" s="26" t="str">
        <f t="shared" si="37"/>
        <v>Y</v>
      </c>
    </row>
    <row r="1209" spans="1:9" x14ac:dyDescent="0.15">
      <c r="A1209" s="26">
        <f t="shared" si="36"/>
        <v>6111</v>
      </c>
      <c r="B1209" s="27" t="s">
        <v>3011</v>
      </c>
      <c r="C1209" s="26" t="s">
        <v>1398</v>
      </c>
      <c r="D1209" s="26">
        <v>-15</v>
      </c>
      <c r="E1209" s="26">
        <v>0</v>
      </c>
      <c r="F1209" s="26">
        <v>101</v>
      </c>
      <c r="G1209" s="26">
        <v>102.55</v>
      </c>
      <c r="I1209" s="26" t="str">
        <f t="shared" si="37"/>
        <v>-</v>
      </c>
    </row>
    <row r="1210" spans="1:9" x14ac:dyDescent="0.15">
      <c r="A1210" s="26">
        <f t="shared" si="36"/>
        <v>6112</v>
      </c>
      <c r="B1210" s="27" t="s">
        <v>3012</v>
      </c>
      <c r="C1210" s="26" t="s">
        <v>1399</v>
      </c>
      <c r="D1210" s="26">
        <v>0</v>
      </c>
      <c r="E1210" s="26">
        <v>0</v>
      </c>
      <c r="F1210" s="26">
        <v>27.65</v>
      </c>
      <c r="G1210" s="26">
        <v>27.02</v>
      </c>
      <c r="I1210" s="26" t="str">
        <f t="shared" si="37"/>
        <v>Y</v>
      </c>
    </row>
    <row r="1211" spans="1:9" x14ac:dyDescent="0.15">
      <c r="A1211" s="26">
        <f t="shared" si="36"/>
        <v>6113</v>
      </c>
      <c r="B1211" s="27" t="s">
        <v>3013</v>
      </c>
      <c r="C1211" s="26" t="s">
        <v>1400</v>
      </c>
      <c r="D1211" s="26">
        <v>-6</v>
      </c>
      <c r="E1211" s="26">
        <v>0</v>
      </c>
      <c r="F1211" s="26">
        <v>7.78</v>
      </c>
      <c r="G1211" s="26">
        <v>7.64</v>
      </c>
      <c r="I1211" s="26" t="str">
        <f t="shared" si="37"/>
        <v>Y</v>
      </c>
    </row>
    <row r="1212" spans="1:9" x14ac:dyDescent="0.15">
      <c r="A1212" s="26">
        <f t="shared" si="36"/>
        <v>6114</v>
      </c>
      <c r="B1212" s="27" t="s">
        <v>3014</v>
      </c>
      <c r="C1212" s="26" t="s">
        <v>1401</v>
      </c>
      <c r="D1212" s="26">
        <v>4</v>
      </c>
      <c r="E1212" s="26">
        <v>0</v>
      </c>
      <c r="F1212" s="26">
        <v>52.7</v>
      </c>
      <c r="G1212" s="26">
        <v>52.77</v>
      </c>
      <c r="I1212" s="26" t="str">
        <f t="shared" si="37"/>
        <v>-</v>
      </c>
    </row>
    <row r="1213" spans="1:9" x14ac:dyDescent="0.15">
      <c r="A1213" s="26">
        <f t="shared" si="36"/>
        <v>6115</v>
      </c>
      <c r="B1213" s="27" t="s">
        <v>3015</v>
      </c>
      <c r="C1213" s="26" t="s">
        <v>1402</v>
      </c>
      <c r="D1213" s="26">
        <v>-10</v>
      </c>
      <c r="E1213" s="26">
        <v>0</v>
      </c>
      <c r="F1213" s="26">
        <v>36.799999999999997</v>
      </c>
      <c r="G1213" s="26">
        <v>34.6</v>
      </c>
      <c r="I1213" s="26" t="str">
        <f t="shared" si="37"/>
        <v>Y</v>
      </c>
    </row>
    <row r="1214" spans="1:9" x14ac:dyDescent="0.15">
      <c r="A1214" s="26">
        <f t="shared" si="36"/>
        <v>6116</v>
      </c>
      <c r="B1214" s="27" t="s">
        <v>3016</v>
      </c>
      <c r="C1214" s="26" t="s">
        <v>1403</v>
      </c>
      <c r="D1214" s="26">
        <v>349</v>
      </c>
      <c r="E1214" s="26">
        <v>0</v>
      </c>
      <c r="F1214" s="26">
        <v>4.16</v>
      </c>
      <c r="G1214" s="26">
        <v>4.1500000000000004</v>
      </c>
      <c r="I1214" s="26" t="str">
        <f t="shared" si="37"/>
        <v>Y</v>
      </c>
    </row>
    <row r="1215" spans="1:9" x14ac:dyDescent="0.15">
      <c r="A1215" s="26">
        <f t="shared" si="36"/>
        <v>6117</v>
      </c>
      <c r="B1215" s="27" t="s">
        <v>3017</v>
      </c>
      <c r="C1215" s="26" t="s">
        <v>1404</v>
      </c>
      <c r="D1215" s="26">
        <v>0</v>
      </c>
      <c r="E1215" s="26">
        <v>0</v>
      </c>
      <c r="F1215" s="26">
        <v>13.9</v>
      </c>
      <c r="G1215" s="26">
        <v>14.04</v>
      </c>
      <c r="I1215" s="26" t="str">
        <f t="shared" si="37"/>
        <v>-</v>
      </c>
    </row>
    <row r="1216" spans="1:9" x14ac:dyDescent="0.15">
      <c r="A1216" s="26">
        <f t="shared" si="36"/>
        <v>6118</v>
      </c>
      <c r="B1216" s="27" t="s">
        <v>3018</v>
      </c>
      <c r="C1216" s="26" t="s">
        <v>1405</v>
      </c>
      <c r="D1216" s="26">
        <v>0</v>
      </c>
      <c r="E1216" s="26">
        <v>0</v>
      </c>
      <c r="F1216" s="26">
        <v>8.24</v>
      </c>
      <c r="G1216" s="26">
        <v>8.06</v>
      </c>
      <c r="I1216" s="26" t="str">
        <f t="shared" si="37"/>
        <v>Y</v>
      </c>
    </row>
    <row r="1217" spans="1:9" x14ac:dyDescent="0.15">
      <c r="A1217" s="26">
        <f t="shared" si="36"/>
        <v>6120</v>
      </c>
      <c r="B1217" s="27" t="s">
        <v>3019</v>
      </c>
      <c r="C1217" s="26" t="s">
        <v>1406</v>
      </c>
      <c r="D1217" s="26">
        <v>45</v>
      </c>
      <c r="E1217" s="26">
        <v>0</v>
      </c>
      <c r="F1217" s="26">
        <v>10.85</v>
      </c>
      <c r="G1217" s="26">
        <v>9.4</v>
      </c>
      <c r="I1217" s="26" t="str">
        <f t="shared" si="37"/>
        <v>Y</v>
      </c>
    </row>
    <row r="1218" spans="1:9" x14ac:dyDescent="0.15">
      <c r="A1218" s="26">
        <f t="shared" si="36"/>
        <v>6121</v>
      </c>
      <c r="B1218" s="27" t="s">
        <v>3020</v>
      </c>
      <c r="C1218" s="26" t="s">
        <v>1407</v>
      </c>
      <c r="D1218" s="26">
        <v>10</v>
      </c>
      <c r="E1218" s="26">
        <v>0</v>
      </c>
      <c r="F1218" s="26">
        <v>110.5</v>
      </c>
      <c r="G1218" s="26">
        <v>108.92</v>
      </c>
      <c r="I1218" s="26" t="str">
        <f t="shared" si="37"/>
        <v>Y</v>
      </c>
    </row>
    <row r="1219" spans="1:9" x14ac:dyDescent="0.15">
      <c r="A1219" s="26">
        <f t="shared" si="36"/>
        <v>6122</v>
      </c>
      <c r="B1219" s="27" t="s">
        <v>3021</v>
      </c>
      <c r="C1219" s="26" t="s">
        <v>1408</v>
      </c>
      <c r="D1219" s="26">
        <v>-5</v>
      </c>
      <c r="E1219" s="26">
        <v>0</v>
      </c>
      <c r="F1219" s="26">
        <v>6.62</v>
      </c>
      <c r="G1219" s="26">
        <v>6.42</v>
      </c>
      <c r="I1219" s="26" t="str">
        <f t="shared" si="37"/>
        <v>Y</v>
      </c>
    </row>
    <row r="1220" spans="1:9" x14ac:dyDescent="0.15">
      <c r="A1220" s="26">
        <f t="shared" si="36"/>
        <v>6123</v>
      </c>
      <c r="B1220" s="27" t="s">
        <v>3022</v>
      </c>
      <c r="C1220" s="26" t="s">
        <v>1409</v>
      </c>
      <c r="D1220" s="26">
        <v>56</v>
      </c>
      <c r="E1220" s="26">
        <v>0</v>
      </c>
      <c r="F1220" s="26">
        <v>33.549999999999997</v>
      </c>
      <c r="G1220" s="26">
        <v>31.43</v>
      </c>
      <c r="I1220" s="26" t="str">
        <f t="shared" si="37"/>
        <v>Y</v>
      </c>
    </row>
    <row r="1221" spans="1:9" x14ac:dyDescent="0.15">
      <c r="A1221" s="26">
        <f t="shared" si="36"/>
        <v>6124</v>
      </c>
      <c r="B1221" s="27" t="s">
        <v>3023</v>
      </c>
      <c r="C1221" s="26" t="s">
        <v>1410</v>
      </c>
      <c r="D1221" s="26">
        <v>23</v>
      </c>
      <c r="E1221" s="26">
        <v>0</v>
      </c>
      <c r="F1221" s="26">
        <v>27.25</v>
      </c>
      <c r="G1221" s="26">
        <v>25.15</v>
      </c>
      <c r="I1221" s="26" t="str">
        <f t="shared" si="37"/>
        <v>Y</v>
      </c>
    </row>
    <row r="1222" spans="1:9" x14ac:dyDescent="0.15">
      <c r="A1222" s="26">
        <f t="shared" si="36"/>
        <v>6125</v>
      </c>
      <c r="B1222" s="27" t="s">
        <v>3024</v>
      </c>
      <c r="C1222" s="26" t="s">
        <v>1411</v>
      </c>
      <c r="D1222" s="26">
        <v>55</v>
      </c>
      <c r="E1222" s="26">
        <v>0</v>
      </c>
      <c r="F1222" s="26">
        <v>12.9</v>
      </c>
      <c r="G1222" s="26">
        <v>12.96</v>
      </c>
      <c r="I1222" s="26" t="str">
        <f t="shared" si="37"/>
        <v>-</v>
      </c>
    </row>
    <row r="1223" spans="1:9" x14ac:dyDescent="0.15">
      <c r="A1223" s="26">
        <f t="shared" ref="A1223:A1286" si="38">VALUE(B1223)</f>
        <v>6126</v>
      </c>
      <c r="B1223" s="27" t="s">
        <v>3025</v>
      </c>
      <c r="C1223" s="26" t="s">
        <v>1412</v>
      </c>
      <c r="D1223" s="26">
        <v>-68</v>
      </c>
      <c r="E1223" s="26">
        <v>0</v>
      </c>
      <c r="F1223" s="26">
        <v>8.1199999999999992</v>
      </c>
      <c r="G1223" s="26">
        <v>7.72</v>
      </c>
      <c r="I1223" s="26" t="str">
        <f t="shared" ref="I1223:I1286" si="39">IF(F1223&gt;G1223,"Y","-")</f>
        <v>Y</v>
      </c>
    </row>
    <row r="1224" spans="1:9" x14ac:dyDescent="0.15">
      <c r="A1224" s="26">
        <f t="shared" si="38"/>
        <v>6127</v>
      </c>
      <c r="B1224" s="27" t="s">
        <v>3026</v>
      </c>
      <c r="C1224" s="26" t="s">
        <v>1413</v>
      </c>
      <c r="D1224" s="26">
        <v>-4</v>
      </c>
      <c r="E1224" s="26">
        <v>0</v>
      </c>
      <c r="F1224" s="26">
        <v>9.7799999999999994</v>
      </c>
      <c r="G1224" s="26">
        <v>9.51</v>
      </c>
      <c r="I1224" s="26" t="str">
        <f t="shared" si="39"/>
        <v>Y</v>
      </c>
    </row>
    <row r="1225" spans="1:9" x14ac:dyDescent="0.15">
      <c r="A1225" s="26">
        <f t="shared" si="38"/>
        <v>6128</v>
      </c>
      <c r="B1225" s="27" t="s">
        <v>3027</v>
      </c>
      <c r="C1225" s="26" t="s">
        <v>1414</v>
      </c>
      <c r="D1225" s="26">
        <v>-3</v>
      </c>
      <c r="E1225" s="26">
        <v>0</v>
      </c>
      <c r="F1225" s="26">
        <v>36.5</v>
      </c>
      <c r="G1225" s="26">
        <v>35.56</v>
      </c>
      <c r="I1225" s="26" t="str">
        <f t="shared" si="39"/>
        <v>Y</v>
      </c>
    </row>
    <row r="1226" spans="1:9" x14ac:dyDescent="0.15">
      <c r="A1226" s="26">
        <f t="shared" si="38"/>
        <v>6129</v>
      </c>
      <c r="B1226" s="27" t="s">
        <v>3028</v>
      </c>
      <c r="C1226" s="26" t="s">
        <v>1415</v>
      </c>
      <c r="D1226" s="26">
        <v>0</v>
      </c>
      <c r="E1226" s="26">
        <v>0</v>
      </c>
      <c r="F1226" s="26">
        <v>7.5</v>
      </c>
      <c r="G1226" s="26">
        <v>7.02</v>
      </c>
      <c r="I1226" s="26" t="str">
        <f t="shared" si="39"/>
        <v>Y</v>
      </c>
    </row>
    <row r="1227" spans="1:9" x14ac:dyDescent="0.15">
      <c r="A1227" s="26">
        <f t="shared" si="38"/>
        <v>6130</v>
      </c>
      <c r="B1227" s="27" t="s">
        <v>3029</v>
      </c>
      <c r="C1227" s="26" t="s">
        <v>1416</v>
      </c>
      <c r="D1227" s="26">
        <v>50</v>
      </c>
      <c r="E1227" s="26">
        <v>0</v>
      </c>
      <c r="F1227" s="26">
        <v>28.3</v>
      </c>
      <c r="G1227" s="26">
        <v>27.71</v>
      </c>
      <c r="I1227" s="26" t="str">
        <f t="shared" si="39"/>
        <v>Y</v>
      </c>
    </row>
    <row r="1228" spans="1:9" x14ac:dyDescent="0.15">
      <c r="A1228" s="26">
        <f t="shared" si="38"/>
        <v>6131</v>
      </c>
      <c r="B1228" s="27" t="s">
        <v>3030</v>
      </c>
      <c r="C1228" s="26" t="s">
        <v>1417</v>
      </c>
      <c r="D1228" s="26">
        <v>-6</v>
      </c>
      <c r="E1228" s="26">
        <v>0</v>
      </c>
      <c r="F1228" s="26">
        <v>10.45</v>
      </c>
      <c r="G1228" s="26">
        <v>9.33</v>
      </c>
      <c r="I1228" s="26" t="str">
        <f t="shared" si="39"/>
        <v>Y</v>
      </c>
    </row>
    <row r="1229" spans="1:9" x14ac:dyDescent="0.15">
      <c r="A1229" s="26">
        <f t="shared" si="38"/>
        <v>6133</v>
      </c>
      <c r="B1229" s="27" t="s">
        <v>3031</v>
      </c>
      <c r="C1229" s="26" t="s">
        <v>1418</v>
      </c>
      <c r="D1229" s="26">
        <v>0</v>
      </c>
      <c r="E1229" s="26">
        <v>0</v>
      </c>
      <c r="F1229" s="26">
        <v>10.15</v>
      </c>
      <c r="G1229" s="26">
        <v>10.01</v>
      </c>
      <c r="I1229" s="26" t="str">
        <f t="shared" si="39"/>
        <v>Y</v>
      </c>
    </row>
    <row r="1230" spans="1:9" x14ac:dyDescent="0.15">
      <c r="A1230" s="26">
        <f t="shared" si="38"/>
        <v>6134</v>
      </c>
      <c r="B1230" s="27" t="s">
        <v>3032</v>
      </c>
      <c r="C1230" s="26" t="s">
        <v>1419</v>
      </c>
      <c r="D1230" s="26">
        <v>0</v>
      </c>
      <c r="E1230" s="26">
        <v>0</v>
      </c>
      <c r="F1230" s="26">
        <v>6.9</v>
      </c>
      <c r="G1230" s="26">
        <v>6.91</v>
      </c>
      <c r="I1230" s="26" t="str">
        <f t="shared" si="39"/>
        <v>-</v>
      </c>
    </row>
    <row r="1231" spans="1:9" x14ac:dyDescent="0.15">
      <c r="A1231" s="26">
        <f t="shared" si="38"/>
        <v>6136</v>
      </c>
      <c r="B1231" s="27" t="s">
        <v>3033</v>
      </c>
      <c r="C1231" s="26" t="s">
        <v>1420</v>
      </c>
      <c r="D1231" s="26">
        <v>-6</v>
      </c>
      <c r="E1231" s="26">
        <v>0</v>
      </c>
      <c r="F1231" s="26">
        <v>24.05</v>
      </c>
      <c r="G1231" s="26">
        <v>23.75</v>
      </c>
      <c r="I1231" s="26" t="str">
        <f t="shared" si="39"/>
        <v>Y</v>
      </c>
    </row>
    <row r="1232" spans="1:9" x14ac:dyDescent="0.15">
      <c r="A1232" s="26">
        <f t="shared" si="38"/>
        <v>6138</v>
      </c>
      <c r="B1232" s="27" t="s">
        <v>3034</v>
      </c>
      <c r="C1232" s="26" t="s">
        <v>1421</v>
      </c>
      <c r="D1232" s="26">
        <v>13</v>
      </c>
      <c r="E1232" s="26">
        <v>0</v>
      </c>
      <c r="F1232" s="26">
        <v>24.75</v>
      </c>
      <c r="G1232" s="26">
        <v>23.5</v>
      </c>
      <c r="I1232" s="26" t="str">
        <f t="shared" si="39"/>
        <v>Y</v>
      </c>
    </row>
    <row r="1233" spans="1:9" x14ac:dyDescent="0.15">
      <c r="A1233" s="26">
        <f t="shared" si="38"/>
        <v>6139</v>
      </c>
      <c r="B1233" s="27" t="s">
        <v>3035</v>
      </c>
      <c r="C1233" s="26" t="s">
        <v>1422</v>
      </c>
      <c r="D1233" s="26">
        <v>-25</v>
      </c>
      <c r="E1233" s="26">
        <v>0</v>
      </c>
      <c r="F1233" s="26">
        <v>29.3</v>
      </c>
      <c r="G1233" s="26">
        <v>26.84</v>
      </c>
      <c r="I1233" s="26" t="str">
        <f t="shared" si="39"/>
        <v>Y</v>
      </c>
    </row>
    <row r="1234" spans="1:9" x14ac:dyDescent="0.15">
      <c r="A1234" s="26">
        <f t="shared" si="38"/>
        <v>6140</v>
      </c>
      <c r="B1234" s="27" t="s">
        <v>3036</v>
      </c>
      <c r="C1234" s="26" t="s">
        <v>1423</v>
      </c>
      <c r="D1234" s="26">
        <v>0</v>
      </c>
      <c r="E1234" s="26">
        <v>0</v>
      </c>
      <c r="F1234" s="26">
        <v>12.2</v>
      </c>
      <c r="G1234" s="26">
        <v>11.28</v>
      </c>
      <c r="I1234" s="26" t="str">
        <f t="shared" si="39"/>
        <v>Y</v>
      </c>
    </row>
    <row r="1235" spans="1:9" x14ac:dyDescent="0.15">
      <c r="A1235" s="26">
        <f t="shared" si="38"/>
        <v>6141</v>
      </c>
      <c r="B1235" s="27" t="s">
        <v>3037</v>
      </c>
      <c r="C1235" s="26" t="s">
        <v>1424</v>
      </c>
      <c r="D1235" s="26">
        <v>-85</v>
      </c>
      <c r="E1235" s="26">
        <v>0</v>
      </c>
      <c r="F1235" s="26">
        <v>8.85</v>
      </c>
      <c r="G1235" s="26">
        <v>8.56</v>
      </c>
      <c r="I1235" s="26" t="str">
        <f t="shared" si="39"/>
        <v>Y</v>
      </c>
    </row>
    <row r="1236" spans="1:9" x14ac:dyDescent="0.15">
      <c r="A1236" s="26">
        <f t="shared" si="38"/>
        <v>6142</v>
      </c>
      <c r="B1236" s="27" t="s">
        <v>3038</v>
      </c>
      <c r="C1236" s="26" t="s">
        <v>1425</v>
      </c>
      <c r="D1236" s="26">
        <v>46</v>
      </c>
      <c r="E1236" s="26">
        <v>0</v>
      </c>
      <c r="F1236" s="26">
        <v>5.75</v>
      </c>
      <c r="G1236" s="26">
        <v>5.74</v>
      </c>
      <c r="I1236" s="26" t="str">
        <f t="shared" si="39"/>
        <v>Y</v>
      </c>
    </row>
    <row r="1237" spans="1:9" x14ac:dyDescent="0.15">
      <c r="A1237" s="26">
        <f t="shared" si="38"/>
        <v>6143</v>
      </c>
      <c r="B1237" s="27" t="s">
        <v>3039</v>
      </c>
      <c r="C1237" s="26" t="s">
        <v>1426</v>
      </c>
      <c r="D1237" s="26">
        <v>1390</v>
      </c>
      <c r="E1237" s="26">
        <v>8</v>
      </c>
      <c r="F1237" s="26">
        <v>77.400000000000006</v>
      </c>
      <c r="G1237" s="26">
        <v>69.13</v>
      </c>
      <c r="I1237" s="26" t="str">
        <f t="shared" si="39"/>
        <v>Y</v>
      </c>
    </row>
    <row r="1238" spans="1:9" x14ac:dyDescent="0.15">
      <c r="A1238" s="26">
        <f t="shared" si="38"/>
        <v>6144</v>
      </c>
      <c r="B1238" s="27" t="s">
        <v>3040</v>
      </c>
      <c r="C1238" s="26" t="s">
        <v>1427</v>
      </c>
      <c r="D1238" s="26">
        <v>0</v>
      </c>
      <c r="E1238" s="26">
        <v>0</v>
      </c>
      <c r="F1238" s="26">
        <v>8.48</v>
      </c>
      <c r="G1238" s="26">
        <v>8.61</v>
      </c>
      <c r="I1238" s="26" t="str">
        <f t="shared" si="39"/>
        <v>-</v>
      </c>
    </row>
    <row r="1239" spans="1:9" x14ac:dyDescent="0.15">
      <c r="A1239" s="26">
        <f t="shared" si="38"/>
        <v>6145</v>
      </c>
      <c r="B1239" s="27" t="s">
        <v>3041</v>
      </c>
      <c r="C1239" s="26" t="s">
        <v>1428</v>
      </c>
      <c r="D1239" s="26">
        <v>27</v>
      </c>
      <c r="E1239" s="26">
        <v>0</v>
      </c>
      <c r="F1239" s="26">
        <v>11</v>
      </c>
      <c r="G1239" s="26">
        <v>10.84</v>
      </c>
      <c r="I1239" s="26" t="str">
        <f t="shared" si="39"/>
        <v>Y</v>
      </c>
    </row>
    <row r="1240" spans="1:9" x14ac:dyDescent="0.15">
      <c r="A1240" s="26">
        <f t="shared" si="38"/>
        <v>6146</v>
      </c>
      <c r="B1240" s="27" t="s">
        <v>3042</v>
      </c>
      <c r="C1240" s="26" t="s">
        <v>1429</v>
      </c>
      <c r="D1240" s="26">
        <v>1</v>
      </c>
      <c r="E1240" s="26">
        <v>-38</v>
      </c>
      <c r="F1240" s="26">
        <v>177</v>
      </c>
      <c r="G1240" s="26">
        <v>183.38</v>
      </c>
      <c r="I1240" s="26" t="str">
        <f t="shared" si="39"/>
        <v>-</v>
      </c>
    </row>
    <row r="1241" spans="1:9" x14ac:dyDescent="0.15">
      <c r="A1241" s="26">
        <f t="shared" si="38"/>
        <v>6147</v>
      </c>
      <c r="B1241" s="27" t="s">
        <v>3043</v>
      </c>
      <c r="C1241" s="26" t="s">
        <v>1430</v>
      </c>
      <c r="D1241" s="26">
        <v>-139</v>
      </c>
      <c r="E1241" s="26">
        <v>-100</v>
      </c>
      <c r="F1241" s="26">
        <v>55</v>
      </c>
      <c r="G1241" s="26">
        <v>53.09</v>
      </c>
      <c r="I1241" s="26" t="str">
        <f t="shared" si="39"/>
        <v>Y</v>
      </c>
    </row>
    <row r="1242" spans="1:9" x14ac:dyDescent="0.15">
      <c r="A1242" s="26">
        <f t="shared" si="38"/>
        <v>6148</v>
      </c>
      <c r="B1242" s="27" t="s">
        <v>3044</v>
      </c>
      <c r="C1242" s="26" t="s">
        <v>1431</v>
      </c>
      <c r="D1242" s="26">
        <v>0</v>
      </c>
      <c r="E1242" s="26">
        <v>0</v>
      </c>
      <c r="F1242" s="26">
        <v>8.3000000000000007</v>
      </c>
      <c r="G1242" s="26">
        <v>8.18</v>
      </c>
      <c r="I1242" s="26" t="str">
        <f t="shared" si="39"/>
        <v>Y</v>
      </c>
    </row>
    <row r="1243" spans="1:9" x14ac:dyDescent="0.15">
      <c r="A1243" s="26">
        <f t="shared" si="38"/>
        <v>6150</v>
      </c>
      <c r="B1243" s="27" t="s">
        <v>3045</v>
      </c>
      <c r="C1243" s="26" t="s">
        <v>1432</v>
      </c>
      <c r="D1243" s="26">
        <v>3</v>
      </c>
      <c r="E1243" s="26">
        <v>0</v>
      </c>
      <c r="F1243" s="26">
        <v>9.65</v>
      </c>
      <c r="G1243" s="26">
        <v>7.77</v>
      </c>
      <c r="I1243" s="26" t="str">
        <f t="shared" si="39"/>
        <v>Y</v>
      </c>
    </row>
    <row r="1244" spans="1:9" x14ac:dyDescent="0.15">
      <c r="A1244" s="26">
        <f t="shared" si="38"/>
        <v>6151</v>
      </c>
      <c r="B1244" s="27" t="s">
        <v>3046</v>
      </c>
      <c r="C1244" s="26" t="s">
        <v>1433</v>
      </c>
      <c r="D1244" s="26">
        <v>20</v>
      </c>
      <c r="E1244" s="26">
        <v>0</v>
      </c>
      <c r="F1244" s="26">
        <v>27.65</v>
      </c>
      <c r="G1244" s="26">
        <v>26.72</v>
      </c>
      <c r="I1244" s="26" t="str">
        <f t="shared" si="39"/>
        <v>Y</v>
      </c>
    </row>
    <row r="1245" spans="1:9" x14ac:dyDescent="0.15">
      <c r="A1245" s="26">
        <f t="shared" si="38"/>
        <v>6152</v>
      </c>
      <c r="B1245" s="27" t="s">
        <v>3047</v>
      </c>
      <c r="C1245" s="26" t="s">
        <v>1434</v>
      </c>
      <c r="D1245" s="26">
        <v>0</v>
      </c>
      <c r="E1245" s="26">
        <v>0</v>
      </c>
      <c r="F1245" s="26">
        <v>8.1</v>
      </c>
      <c r="G1245" s="26">
        <v>7.95</v>
      </c>
      <c r="I1245" s="26" t="str">
        <f t="shared" si="39"/>
        <v>Y</v>
      </c>
    </row>
    <row r="1246" spans="1:9" x14ac:dyDescent="0.15">
      <c r="A1246" s="26">
        <f t="shared" si="38"/>
        <v>6153</v>
      </c>
      <c r="B1246" s="27" t="s">
        <v>3048</v>
      </c>
      <c r="C1246" s="26" t="s">
        <v>1435</v>
      </c>
      <c r="D1246" s="26">
        <v>200</v>
      </c>
      <c r="E1246" s="26">
        <v>0</v>
      </c>
      <c r="F1246" s="26">
        <v>22.6</v>
      </c>
      <c r="G1246" s="26">
        <v>22.58</v>
      </c>
      <c r="I1246" s="26" t="str">
        <f t="shared" si="39"/>
        <v>Y</v>
      </c>
    </row>
    <row r="1247" spans="1:9" x14ac:dyDescent="0.15">
      <c r="A1247" s="26">
        <f t="shared" si="38"/>
        <v>6154</v>
      </c>
      <c r="B1247" s="27" t="s">
        <v>3049</v>
      </c>
      <c r="C1247" s="26" t="s">
        <v>1436</v>
      </c>
      <c r="D1247" s="26">
        <v>0</v>
      </c>
      <c r="E1247" s="26">
        <v>0</v>
      </c>
      <c r="F1247" s="26">
        <v>16.8</v>
      </c>
      <c r="G1247" s="26">
        <v>16.34</v>
      </c>
      <c r="I1247" s="26" t="str">
        <f t="shared" si="39"/>
        <v>Y</v>
      </c>
    </row>
    <row r="1248" spans="1:9" x14ac:dyDescent="0.15">
      <c r="A1248" s="26">
        <f t="shared" si="38"/>
        <v>6155</v>
      </c>
      <c r="B1248" s="27" t="s">
        <v>3050</v>
      </c>
      <c r="C1248" s="26" t="s">
        <v>1437</v>
      </c>
      <c r="D1248" s="26">
        <v>-7</v>
      </c>
      <c r="E1248" s="26">
        <v>0</v>
      </c>
      <c r="F1248" s="26">
        <v>19.25</v>
      </c>
      <c r="G1248" s="26">
        <v>18.170000000000002</v>
      </c>
      <c r="I1248" s="26" t="str">
        <f t="shared" si="39"/>
        <v>Y</v>
      </c>
    </row>
    <row r="1249" spans="1:9" x14ac:dyDescent="0.15">
      <c r="A1249" s="26">
        <f t="shared" si="38"/>
        <v>6156</v>
      </c>
      <c r="B1249" s="27" t="s">
        <v>3051</v>
      </c>
      <c r="C1249" s="26" t="s">
        <v>1438</v>
      </c>
      <c r="D1249" s="26">
        <v>0</v>
      </c>
      <c r="E1249" s="26">
        <v>0</v>
      </c>
      <c r="F1249" s="26">
        <v>17.55</v>
      </c>
      <c r="G1249" s="26">
        <v>15.36</v>
      </c>
      <c r="I1249" s="26" t="str">
        <f t="shared" si="39"/>
        <v>Y</v>
      </c>
    </row>
    <row r="1250" spans="1:9" x14ac:dyDescent="0.15">
      <c r="A1250" s="26">
        <f t="shared" si="38"/>
        <v>6158</v>
      </c>
      <c r="B1250" s="27" t="s">
        <v>3052</v>
      </c>
      <c r="C1250" s="26" t="s">
        <v>1439</v>
      </c>
      <c r="D1250" s="26">
        <v>0</v>
      </c>
      <c r="E1250" s="26">
        <v>0</v>
      </c>
      <c r="F1250" s="26">
        <v>18.5</v>
      </c>
      <c r="G1250" s="26">
        <v>20.04</v>
      </c>
      <c r="I1250" s="26" t="str">
        <f t="shared" si="39"/>
        <v>-</v>
      </c>
    </row>
    <row r="1251" spans="1:9" x14ac:dyDescent="0.15">
      <c r="A1251" s="26">
        <f t="shared" si="38"/>
        <v>6160</v>
      </c>
      <c r="B1251" s="27" t="s">
        <v>3053</v>
      </c>
      <c r="C1251" s="26" t="s">
        <v>1440</v>
      </c>
      <c r="D1251" s="26">
        <v>0</v>
      </c>
      <c r="E1251" s="26">
        <v>0</v>
      </c>
      <c r="F1251" s="26">
        <v>16.8</v>
      </c>
      <c r="G1251" s="26">
        <v>16.829999999999998</v>
      </c>
      <c r="I1251" s="26" t="str">
        <f t="shared" si="39"/>
        <v>-</v>
      </c>
    </row>
    <row r="1252" spans="1:9" x14ac:dyDescent="0.15">
      <c r="A1252" s="26">
        <f t="shared" si="38"/>
        <v>6161</v>
      </c>
      <c r="B1252" s="27" t="s">
        <v>3054</v>
      </c>
      <c r="C1252" s="26" t="s">
        <v>1441</v>
      </c>
      <c r="D1252" s="26">
        <v>-18</v>
      </c>
      <c r="E1252" s="26">
        <v>0</v>
      </c>
      <c r="F1252" s="26">
        <v>7.24</v>
      </c>
      <c r="G1252" s="26">
        <v>6.93</v>
      </c>
      <c r="I1252" s="26" t="str">
        <f t="shared" si="39"/>
        <v>Y</v>
      </c>
    </row>
    <row r="1253" spans="1:9" x14ac:dyDescent="0.15">
      <c r="A1253" s="26">
        <f t="shared" si="38"/>
        <v>6163</v>
      </c>
      <c r="B1253" s="27" t="s">
        <v>3055</v>
      </c>
      <c r="C1253" s="26" t="s">
        <v>1442</v>
      </c>
      <c r="D1253" s="26">
        <v>15</v>
      </c>
      <c r="E1253" s="26">
        <v>0</v>
      </c>
      <c r="F1253" s="26">
        <v>11.35</v>
      </c>
      <c r="G1253" s="26">
        <v>11.32</v>
      </c>
      <c r="I1253" s="26" t="str">
        <f t="shared" si="39"/>
        <v>Y</v>
      </c>
    </row>
    <row r="1254" spans="1:9" x14ac:dyDescent="0.15">
      <c r="A1254" s="26">
        <f t="shared" si="38"/>
        <v>6164</v>
      </c>
      <c r="B1254" s="27" t="s">
        <v>3056</v>
      </c>
      <c r="C1254" s="26" t="s">
        <v>1443</v>
      </c>
      <c r="D1254" s="26">
        <v>-11</v>
      </c>
      <c r="E1254" s="26">
        <v>0</v>
      </c>
      <c r="F1254" s="26">
        <v>10.35</v>
      </c>
      <c r="G1254" s="26">
        <v>10.16</v>
      </c>
      <c r="I1254" s="26" t="str">
        <f t="shared" si="39"/>
        <v>Y</v>
      </c>
    </row>
    <row r="1255" spans="1:9" x14ac:dyDescent="0.15">
      <c r="A1255" s="26">
        <f t="shared" si="38"/>
        <v>6165</v>
      </c>
      <c r="B1255" s="27" t="s">
        <v>3057</v>
      </c>
      <c r="C1255" s="26" t="s">
        <v>1444</v>
      </c>
      <c r="D1255" s="26">
        <v>0</v>
      </c>
      <c r="E1255" s="26">
        <v>0</v>
      </c>
      <c r="F1255" s="26">
        <v>10.85</v>
      </c>
      <c r="G1255" s="26">
        <v>11.05</v>
      </c>
      <c r="I1255" s="26" t="str">
        <f t="shared" si="39"/>
        <v>-</v>
      </c>
    </row>
    <row r="1256" spans="1:9" x14ac:dyDescent="0.15">
      <c r="A1256" s="26">
        <f t="shared" si="38"/>
        <v>6166</v>
      </c>
      <c r="B1256" s="27" t="s">
        <v>3058</v>
      </c>
      <c r="C1256" s="26" t="s">
        <v>1445</v>
      </c>
      <c r="D1256" s="26">
        <v>49</v>
      </c>
      <c r="E1256" s="26">
        <v>0</v>
      </c>
      <c r="F1256" s="26">
        <v>78.2</v>
      </c>
      <c r="G1256" s="26">
        <v>76.81</v>
      </c>
      <c r="I1256" s="26" t="str">
        <f t="shared" si="39"/>
        <v>Y</v>
      </c>
    </row>
    <row r="1257" spans="1:9" x14ac:dyDescent="0.15">
      <c r="A1257" s="26">
        <f t="shared" si="38"/>
        <v>6167</v>
      </c>
      <c r="B1257" s="27" t="s">
        <v>3059</v>
      </c>
      <c r="C1257" s="26" t="s">
        <v>1446</v>
      </c>
      <c r="D1257" s="26">
        <v>306</v>
      </c>
      <c r="E1257" s="26">
        <v>0</v>
      </c>
      <c r="F1257" s="26">
        <v>5.54</v>
      </c>
      <c r="G1257" s="26">
        <v>4.75</v>
      </c>
      <c r="I1257" s="26" t="str">
        <f t="shared" si="39"/>
        <v>Y</v>
      </c>
    </row>
    <row r="1258" spans="1:9" x14ac:dyDescent="0.15">
      <c r="A1258" s="26">
        <f t="shared" si="38"/>
        <v>6168</v>
      </c>
      <c r="B1258" s="27" t="s">
        <v>3060</v>
      </c>
      <c r="C1258" s="26" t="s">
        <v>1447</v>
      </c>
      <c r="D1258" s="26">
        <v>-14</v>
      </c>
      <c r="E1258" s="26">
        <v>0</v>
      </c>
      <c r="F1258" s="26">
        <v>13.05</v>
      </c>
      <c r="G1258" s="26">
        <v>12.83</v>
      </c>
      <c r="I1258" s="26" t="str">
        <f t="shared" si="39"/>
        <v>Y</v>
      </c>
    </row>
    <row r="1259" spans="1:9" x14ac:dyDescent="0.15">
      <c r="A1259" s="26">
        <f t="shared" si="38"/>
        <v>6169</v>
      </c>
      <c r="B1259" s="27" t="s">
        <v>3061</v>
      </c>
      <c r="C1259" s="26" t="s">
        <v>1448</v>
      </c>
      <c r="D1259" s="26">
        <v>8</v>
      </c>
      <c r="E1259" s="26">
        <v>0</v>
      </c>
      <c r="F1259" s="26">
        <v>37.5</v>
      </c>
      <c r="G1259" s="26">
        <v>30.84</v>
      </c>
      <c r="I1259" s="26" t="str">
        <f t="shared" si="39"/>
        <v>Y</v>
      </c>
    </row>
    <row r="1260" spans="1:9" x14ac:dyDescent="0.15">
      <c r="A1260" s="26">
        <f t="shared" si="38"/>
        <v>6170</v>
      </c>
      <c r="B1260" s="27" t="s">
        <v>3062</v>
      </c>
      <c r="C1260" s="26" t="s">
        <v>1449</v>
      </c>
      <c r="D1260" s="26">
        <v>-7</v>
      </c>
      <c r="E1260" s="26">
        <v>0</v>
      </c>
      <c r="F1260" s="26">
        <v>10.199999999999999</v>
      </c>
      <c r="G1260" s="26">
        <v>9.8699999999999992</v>
      </c>
      <c r="I1260" s="26" t="str">
        <f t="shared" si="39"/>
        <v>Y</v>
      </c>
    </row>
    <row r="1261" spans="1:9" x14ac:dyDescent="0.15">
      <c r="A1261" s="26">
        <f t="shared" si="38"/>
        <v>6171</v>
      </c>
      <c r="B1261" s="27" t="s">
        <v>3063</v>
      </c>
      <c r="C1261" s="26" t="s">
        <v>1450</v>
      </c>
      <c r="D1261" s="26">
        <v>-1</v>
      </c>
      <c r="E1261" s="26">
        <v>0</v>
      </c>
      <c r="F1261" s="26">
        <v>11.75</v>
      </c>
      <c r="G1261" s="26">
        <v>10.65</v>
      </c>
      <c r="I1261" s="26" t="str">
        <f t="shared" si="39"/>
        <v>Y</v>
      </c>
    </row>
    <row r="1262" spans="1:9" x14ac:dyDescent="0.15">
      <c r="A1262" s="26">
        <f t="shared" si="38"/>
        <v>6172</v>
      </c>
      <c r="B1262" s="27" t="s">
        <v>3064</v>
      </c>
      <c r="C1262" s="26" t="s">
        <v>1451</v>
      </c>
      <c r="D1262" s="26">
        <v>0</v>
      </c>
      <c r="E1262" s="26">
        <v>0</v>
      </c>
      <c r="F1262" s="26">
        <v>7.78</v>
      </c>
      <c r="G1262" s="26">
        <v>7.37</v>
      </c>
      <c r="I1262" s="26" t="str">
        <f t="shared" si="39"/>
        <v>Y</v>
      </c>
    </row>
    <row r="1263" spans="1:9" x14ac:dyDescent="0.15">
      <c r="A1263" s="26">
        <f t="shared" si="38"/>
        <v>6173</v>
      </c>
      <c r="B1263" s="27" t="s">
        <v>3065</v>
      </c>
      <c r="C1263" s="26" t="s">
        <v>1452</v>
      </c>
      <c r="D1263" s="26">
        <v>19</v>
      </c>
      <c r="E1263" s="26">
        <v>0</v>
      </c>
      <c r="F1263" s="26">
        <v>11.7</v>
      </c>
      <c r="G1263" s="26">
        <v>11.53</v>
      </c>
      <c r="I1263" s="26" t="str">
        <f t="shared" si="39"/>
        <v>Y</v>
      </c>
    </row>
    <row r="1264" spans="1:9" x14ac:dyDescent="0.15">
      <c r="A1264" s="26">
        <f t="shared" si="38"/>
        <v>6174</v>
      </c>
      <c r="B1264" s="27" t="s">
        <v>3066</v>
      </c>
      <c r="C1264" s="26" t="s">
        <v>1453</v>
      </c>
      <c r="D1264" s="26">
        <v>-19</v>
      </c>
      <c r="E1264" s="26">
        <v>0</v>
      </c>
      <c r="F1264" s="26">
        <v>15.55</v>
      </c>
      <c r="G1264" s="26">
        <v>14.39</v>
      </c>
      <c r="I1264" s="26" t="str">
        <f t="shared" si="39"/>
        <v>Y</v>
      </c>
    </row>
    <row r="1265" spans="1:9" x14ac:dyDescent="0.15">
      <c r="A1265" s="26">
        <f t="shared" si="38"/>
        <v>6175</v>
      </c>
      <c r="B1265" s="27" t="s">
        <v>3067</v>
      </c>
      <c r="C1265" s="26" t="s">
        <v>1454</v>
      </c>
      <c r="D1265" s="26">
        <v>-4</v>
      </c>
      <c r="E1265" s="26">
        <v>0</v>
      </c>
      <c r="F1265" s="26">
        <v>14.3</v>
      </c>
      <c r="G1265" s="26">
        <v>13.27</v>
      </c>
      <c r="I1265" s="26" t="str">
        <f t="shared" si="39"/>
        <v>Y</v>
      </c>
    </row>
    <row r="1266" spans="1:9" x14ac:dyDescent="0.15">
      <c r="A1266" s="26">
        <f t="shared" si="38"/>
        <v>6176</v>
      </c>
      <c r="B1266" s="27" t="s">
        <v>3068</v>
      </c>
      <c r="C1266" s="26" t="s">
        <v>1455</v>
      </c>
      <c r="D1266" s="26">
        <v>-915</v>
      </c>
      <c r="E1266" s="26">
        <v>-42</v>
      </c>
      <c r="F1266" s="26">
        <v>69.599999999999994</v>
      </c>
      <c r="G1266" s="26">
        <v>66.73</v>
      </c>
      <c r="I1266" s="26" t="str">
        <f t="shared" si="39"/>
        <v>Y</v>
      </c>
    </row>
    <row r="1267" spans="1:9" x14ac:dyDescent="0.15">
      <c r="A1267" s="26">
        <f t="shared" si="38"/>
        <v>6177</v>
      </c>
      <c r="B1267" s="27" t="s">
        <v>3069</v>
      </c>
      <c r="C1267" s="26" t="s">
        <v>1456</v>
      </c>
      <c r="D1267" s="26">
        <v>8</v>
      </c>
      <c r="E1267" s="26">
        <v>0</v>
      </c>
      <c r="F1267" s="26">
        <v>21.65</v>
      </c>
      <c r="G1267" s="26">
        <v>19.47</v>
      </c>
      <c r="I1267" s="26" t="str">
        <f t="shared" si="39"/>
        <v>Y</v>
      </c>
    </row>
    <row r="1268" spans="1:9" x14ac:dyDescent="0.15">
      <c r="A1268" s="26">
        <f t="shared" si="38"/>
        <v>6179</v>
      </c>
      <c r="B1268" s="27" t="s">
        <v>3070</v>
      </c>
      <c r="C1268" s="26" t="s">
        <v>1457</v>
      </c>
      <c r="D1268" s="26">
        <v>0</v>
      </c>
      <c r="E1268" s="26">
        <v>0</v>
      </c>
      <c r="F1268" s="26">
        <v>37.5</v>
      </c>
      <c r="G1268" s="26">
        <v>36.78</v>
      </c>
      <c r="I1268" s="26" t="str">
        <f t="shared" si="39"/>
        <v>Y</v>
      </c>
    </row>
    <row r="1269" spans="1:9" x14ac:dyDescent="0.15">
      <c r="A1269" s="26">
        <f t="shared" si="38"/>
        <v>6180</v>
      </c>
      <c r="B1269" s="27" t="s">
        <v>3071</v>
      </c>
      <c r="C1269" s="26" t="s">
        <v>1458</v>
      </c>
      <c r="D1269" s="26">
        <v>-19</v>
      </c>
      <c r="E1269" s="26">
        <v>0</v>
      </c>
      <c r="F1269" s="26">
        <v>38.65</v>
      </c>
      <c r="G1269" s="26">
        <v>38.229999999999997</v>
      </c>
      <c r="I1269" s="26" t="str">
        <f t="shared" si="39"/>
        <v>Y</v>
      </c>
    </row>
    <row r="1270" spans="1:9" x14ac:dyDescent="0.15">
      <c r="A1270" s="26">
        <f t="shared" si="38"/>
        <v>6182</v>
      </c>
      <c r="B1270" s="27" t="s">
        <v>3072</v>
      </c>
      <c r="C1270" s="26" t="s">
        <v>1459</v>
      </c>
      <c r="D1270" s="26">
        <v>-34</v>
      </c>
      <c r="E1270" s="26">
        <v>0</v>
      </c>
      <c r="F1270" s="26">
        <v>12.1</v>
      </c>
      <c r="G1270" s="26">
        <v>12.13</v>
      </c>
      <c r="I1270" s="26" t="str">
        <f t="shared" si="39"/>
        <v>-</v>
      </c>
    </row>
    <row r="1271" spans="1:9" x14ac:dyDescent="0.15">
      <c r="A1271" s="26">
        <f t="shared" si="38"/>
        <v>6183</v>
      </c>
      <c r="B1271" s="27" t="s">
        <v>3073</v>
      </c>
      <c r="C1271" s="26" t="s">
        <v>1460</v>
      </c>
      <c r="D1271" s="26">
        <v>0</v>
      </c>
      <c r="E1271" s="26">
        <v>0</v>
      </c>
      <c r="F1271" s="26">
        <v>26.2</v>
      </c>
      <c r="G1271" s="26">
        <v>25.91</v>
      </c>
      <c r="I1271" s="26" t="str">
        <f t="shared" si="39"/>
        <v>Y</v>
      </c>
    </row>
    <row r="1272" spans="1:9" x14ac:dyDescent="0.15">
      <c r="A1272" s="26">
        <f t="shared" si="38"/>
        <v>6184</v>
      </c>
      <c r="B1272" s="27" t="s">
        <v>3074</v>
      </c>
      <c r="C1272" s="26" t="s">
        <v>1461</v>
      </c>
      <c r="D1272" s="26">
        <v>-6</v>
      </c>
      <c r="E1272" s="26">
        <v>0</v>
      </c>
      <c r="F1272" s="26">
        <v>48.2</v>
      </c>
      <c r="G1272" s="26">
        <v>48.11</v>
      </c>
      <c r="I1272" s="26" t="str">
        <f t="shared" si="39"/>
        <v>Y</v>
      </c>
    </row>
    <row r="1273" spans="1:9" x14ac:dyDescent="0.15">
      <c r="A1273" s="26">
        <f t="shared" si="38"/>
        <v>6185</v>
      </c>
      <c r="B1273" s="27" t="s">
        <v>3075</v>
      </c>
      <c r="C1273" s="26" t="s">
        <v>1462</v>
      </c>
      <c r="D1273" s="26">
        <v>7</v>
      </c>
      <c r="E1273" s="26">
        <v>0</v>
      </c>
      <c r="F1273" s="26">
        <v>23.8</v>
      </c>
      <c r="G1273" s="26">
        <v>23.08</v>
      </c>
      <c r="I1273" s="26" t="str">
        <f t="shared" si="39"/>
        <v>Y</v>
      </c>
    </row>
    <row r="1274" spans="1:9" x14ac:dyDescent="0.15">
      <c r="A1274" s="26">
        <f t="shared" si="38"/>
        <v>6186</v>
      </c>
      <c r="B1274" s="27" t="s">
        <v>3076</v>
      </c>
      <c r="C1274" s="26" t="s">
        <v>1463</v>
      </c>
      <c r="D1274" s="26">
        <v>56</v>
      </c>
      <c r="E1274" s="26">
        <v>0</v>
      </c>
      <c r="F1274" s="26">
        <v>21.2</v>
      </c>
      <c r="G1274" s="26">
        <v>19.62</v>
      </c>
      <c r="I1274" s="26" t="str">
        <f t="shared" si="39"/>
        <v>Y</v>
      </c>
    </row>
    <row r="1275" spans="1:9" x14ac:dyDescent="0.15">
      <c r="A1275" s="26">
        <f t="shared" si="38"/>
        <v>6187</v>
      </c>
      <c r="B1275" s="27" t="s">
        <v>3077</v>
      </c>
      <c r="C1275" s="26" t="s">
        <v>1464</v>
      </c>
      <c r="D1275" s="26">
        <v>-92</v>
      </c>
      <c r="E1275" s="26">
        <v>0</v>
      </c>
      <c r="F1275" s="26">
        <v>47.55</v>
      </c>
      <c r="G1275" s="26">
        <v>47.08</v>
      </c>
      <c r="I1275" s="26" t="str">
        <f t="shared" si="39"/>
        <v>Y</v>
      </c>
    </row>
    <row r="1276" spans="1:9" x14ac:dyDescent="0.15">
      <c r="A1276" s="26">
        <f t="shared" si="38"/>
        <v>6188</v>
      </c>
      <c r="B1276" s="27" t="s">
        <v>3078</v>
      </c>
      <c r="C1276" s="26" t="s">
        <v>1465</v>
      </c>
      <c r="D1276" s="26">
        <v>15</v>
      </c>
      <c r="E1276" s="26">
        <v>0</v>
      </c>
      <c r="F1276" s="26">
        <v>24.6</v>
      </c>
      <c r="G1276" s="26">
        <v>23.97</v>
      </c>
      <c r="I1276" s="26" t="str">
        <f t="shared" si="39"/>
        <v>Y</v>
      </c>
    </row>
    <row r="1277" spans="1:9" x14ac:dyDescent="0.15">
      <c r="A1277" s="26">
        <f t="shared" si="38"/>
        <v>6189</v>
      </c>
      <c r="B1277" s="27" t="s">
        <v>3079</v>
      </c>
      <c r="C1277" s="26" t="s">
        <v>1466</v>
      </c>
      <c r="D1277" s="26">
        <v>-37</v>
      </c>
      <c r="E1277" s="26">
        <v>0</v>
      </c>
      <c r="F1277" s="26">
        <v>34.700000000000003</v>
      </c>
      <c r="G1277" s="26">
        <v>34.200000000000003</v>
      </c>
      <c r="I1277" s="26" t="str">
        <f t="shared" si="39"/>
        <v>Y</v>
      </c>
    </row>
    <row r="1278" spans="1:9" x14ac:dyDescent="0.15">
      <c r="A1278" s="26">
        <f t="shared" si="38"/>
        <v>6190</v>
      </c>
      <c r="B1278" s="27" t="s">
        <v>3080</v>
      </c>
      <c r="C1278" s="26" t="s">
        <v>1467</v>
      </c>
      <c r="D1278" s="26">
        <v>-30</v>
      </c>
      <c r="E1278" s="26">
        <v>0</v>
      </c>
      <c r="F1278" s="26">
        <v>6.5</v>
      </c>
      <c r="G1278" s="26">
        <v>6.09</v>
      </c>
      <c r="I1278" s="26" t="str">
        <f t="shared" si="39"/>
        <v>Y</v>
      </c>
    </row>
    <row r="1279" spans="1:9" x14ac:dyDescent="0.15">
      <c r="A1279" s="26">
        <f t="shared" si="38"/>
        <v>6191</v>
      </c>
      <c r="B1279" s="27" t="s">
        <v>3081</v>
      </c>
      <c r="C1279" s="26" t="s">
        <v>1468</v>
      </c>
      <c r="D1279" s="26">
        <v>91</v>
      </c>
      <c r="E1279" s="26">
        <v>0</v>
      </c>
      <c r="F1279" s="26">
        <v>7.27</v>
      </c>
      <c r="G1279" s="26">
        <v>7.14</v>
      </c>
      <c r="I1279" s="26" t="str">
        <f t="shared" si="39"/>
        <v>Y</v>
      </c>
    </row>
    <row r="1280" spans="1:9" x14ac:dyDescent="0.15">
      <c r="A1280" s="26">
        <f t="shared" si="38"/>
        <v>6192</v>
      </c>
      <c r="B1280" s="27" t="s">
        <v>3082</v>
      </c>
      <c r="C1280" s="26" t="s">
        <v>1469</v>
      </c>
      <c r="D1280" s="26">
        <v>22</v>
      </c>
      <c r="E1280" s="26">
        <v>0</v>
      </c>
      <c r="F1280" s="26">
        <v>46.7</v>
      </c>
      <c r="G1280" s="26">
        <v>45.93</v>
      </c>
      <c r="I1280" s="26" t="str">
        <f t="shared" si="39"/>
        <v>Y</v>
      </c>
    </row>
    <row r="1281" spans="1:9" x14ac:dyDescent="0.15">
      <c r="A1281" s="26">
        <f t="shared" si="38"/>
        <v>6194</v>
      </c>
      <c r="B1281" s="27" t="s">
        <v>3083</v>
      </c>
      <c r="C1281" s="26" t="s">
        <v>1470</v>
      </c>
      <c r="D1281" s="26">
        <v>0</v>
      </c>
      <c r="E1281" s="26">
        <v>0</v>
      </c>
      <c r="F1281" s="26">
        <v>20</v>
      </c>
      <c r="G1281" s="26">
        <v>19.72</v>
      </c>
      <c r="I1281" s="26" t="str">
        <f t="shared" si="39"/>
        <v>Y</v>
      </c>
    </row>
    <row r="1282" spans="1:9" x14ac:dyDescent="0.15">
      <c r="A1282" s="26">
        <f t="shared" si="38"/>
        <v>6195</v>
      </c>
      <c r="B1282" s="27" t="s">
        <v>3084</v>
      </c>
      <c r="C1282" s="26" t="s">
        <v>1471</v>
      </c>
      <c r="D1282" s="26">
        <v>0</v>
      </c>
      <c r="E1282" s="26">
        <v>0</v>
      </c>
      <c r="F1282" s="26">
        <v>52.6</v>
      </c>
      <c r="G1282" s="26">
        <v>50.94</v>
      </c>
      <c r="I1282" s="26" t="str">
        <f t="shared" si="39"/>
        <v>Y</v>
      </c>
    </row>
    <row r="1283" spans="1:9" x14ac:dyDescent="0.15">
      <c r="A1283" s="26">
        <f t="shared" si="38"/>
        <v>6196</v>
      </c>
      <c r="B1283" s="27" t="s">
        <v>3085</v>
      </c>
      <c r="C1283" s="26" t="s">
        <v>1472</v>
      </c>
      <c r="D1283" s="26">
        <v>561</v>
      </c>
      <c r="E1283" s="26">
        <v>0</v>
      </c>
      <c r="F1283" s="26">
        <v>27.05</v>
      </c>
      <c r="G1283" s="26">
        <v>25.85</v>
      </c>
      <c r="I1283" s="26" t="str">
        <f t="shared" si="39"/>
        <v>Y</v>
      </c>
    </row>
    <row r="1284" spans="1:9" x14ac:dyDescent="0.15">
      <c r="A1284" s="26">
        <f t="shared" si="38"/>
        <v>6197</v>
      </c>
      <c r="B1284" s="27" t="s">
        <v>3086</v>
      </c>
      <c r="C1284" s="26" t="s">
        <v>1473</v>
      </c>
      <c r="D1284" s="26">
        <v>17</v>
      </c>
      <c r="E1284" s="26">
        <v>0</v>
      </c>
      <c r="F1284" s="26">
        <v>28.8</v>
      </c>
      <c r="G1284" s="26">
        <v>28.24</v>
      </c>
      <c r="I1284" s="26" t="str">
        <f t="shared" si="39"/>
        <v>Y</v>
      </c>
    </row>
    <row r="1285" spans="1:9" x14ac:dyDescent="0.15">
      <c r="A1285" s="26">
        <f t="shared" si="38"/>
        <v>6198</v>
      </c>
      <c r="B1285" s="27" t="s">
        <v>3087</v>
      </c>
      <c r="C1285" s="26" t="s">
        <v>1474</v>
      </c>
      <c r="D1285" s="26">
        <v>0</v>
      </c>
      <c r="E1285" s="26">
        <v>0</v>
      </c>
      <c r="F1285" s="26">
        <v>15.8</v>
      </c>
      <c r="G1285" s="26">
        <v>15.8</v>
      </c>
      <c r="I1285" s="26" t="str">
        <f t="shared" si="39"/>
        <v>-</v>
      </c>
    </row>
    <row r="1286" spans="1:9" x14ac:dyDescent="0.15">
      <c r="A1286" s="26">
        <f t="shared" si="38"/>
        <v>6199</v>
      </c>
      <c r="B1286" s="27" t="s">
        <v>3088</v>
      </c>
      <c r="C1286" s="26" t="s">
        <v>1475</v>
      </c>
      <c r="D1286" s="26">
        <v>0</v>
      </c>
      <c r="E1286" s="26">
        <v>0</v>
      </c>
      <c r="F1286" s="26">
        <v>10.25</v>
      </c>
      <c r="G1286" s="26">
        <v>12.35</v>
      </c>
      <c r="I1286" s="26" t="str">
        <f t="shared" si="39"/>
        <v>-</v>
      </c>
    </row>
    <row r="1287" spans="1:9" x14ac:dyDescent="0.15">
      <c r="A1287" s="26">
        <f t="shared" ref="A1287:A1350" si="40">VALUE(B1287)</f>
        <v>6201</v>
      </c>
      <c r="B1287" s="27" t="s">
        <v>3089</v>
      </c>
      <c r="C1287" s="26" t="s">
        <v>1476</v>
      </c>
      <c r="D1287" s="26">
        <v>-3</v>
      </c>
      <c r="E1287" s="26">
        <v>0</v>
      </c>
      <c r="F1287" s="26">
        <v>26.95</v>
      </c>
      <c r="G1287" s="26">
        <v>26.46</v>
      </c>
      <c r="I1287" s="26" t="str">
        <f t="shared" ref="I1287:I1350" si="41">IF(F1287&gt;G1287,"Y","-")</f>
        <v>Y</v>
      </c>
    </row>
    <row r="1288" spans="1:9" x14ac:dyDescent="0.15">
      <c r="A1288" s="26">
        <f t="shared" si="40"/>
        <v>6202</v>
      </c>
      <c r="B1288" s="27" t="s">
        <v>3090</v>
      </c>
      <c r="C1288" s="26" t="s">
        <v>1477</v>
      </c>
      <c r="D1288" s="26">
        <v>-163</v>
      </c>
      <c r="E1288" s="26">
        <v>0</v>
      </c>
      <c r="F1288" s="26">
        <v>52.5</v>
      </c>
      <c r="G1288" s="26">
        <v>51.86</v>
      </c>
      <c r="I1288" s="26" t="str">
        <f t="shared" si="41"/>
        <v>Y</v>
      </c>
    </row>
    <row r="1289" spans="1:9" x14ac:dyDescent="0.15">
      <c r="A1289" s="26">
        <f t="shared" si="40"/>
        <v>6203</v>
      </c>
      <c r="B1289" s="27" t="s">
        <v>3091</v>
      </c>
      <c r="C1289" s="26" t="s">
        <v>1478</v>
      </c>
      <c r="D1289" s="26">
        <v>-1</v>
      </c>
      <c r="E1289" s="26">
        <v>0</v>
      </c>
      <c r="F1289" s="26">
        <v>34</v>
      </c>
      <c r="G1289" s="26">
        <v>32.590000000000003</v>
      </c>
      <c r="I1289" s="26" t="str">
        <f t="shared" si="41"/>
        <v>Y</v>
      </c>
    </row>
    <row r="1290" spans="1:9" x14ac:dyDescent="0.15">
      <c r="A1290" s="26">
        <f t="shared" si="40"/>
        <v>6204</v>
      </c>
      <c r="B1290" s="27" t="s">
        <v>3092</v>
      </c>
      <c r="C1290" s="26" t="s">
        <v>1479</v>
      </c>
      <c r="D1290" s="26">
        <v>-1</v>
      </c>
      <c r="E1290" s="26">
        <v>0</v>
      </c>
      <c r="F1290" s="26">
        <v>23.5</v>
      </c>
      <c r="G1290" s="26">
        <v>23.75</v>
      </c>
      <c r="I1290" s="26" t="str">
        <f t="shared" si="41"/>
        <v>-</v>
      </c>
    </row>
    <row r="1291" spans="1:9" x14ac:dyDescent="0.15">
      <c r="A1291" s="26">
        <f t="shared" si="40"/>
        <v>6205</v>
      </c>
      <c r="B1291" s="27" t="s">
        <v>3093</v>
      </c>
      <c r="C1291" s="26" t="s">
        <v>1480</v>
      </c>
      <c r="D1291" s="26">
        <v>-18</v>
      </c>
      <c r="E1291" s="26">
        <v>0</v>
      </c>
      <c r="F1291" s="26">
        <v>30.8</v>
      </c>
      <c r="G1291" s="26">
        <v>29.11</v>
      </c>
      <c r="I1291" s="26" t="str">
        <f t="shared" si="41"/>
        <v>Y</v>
      </c>
    </row>
    <row r="1292" spans="1:9" x14ac:dyDescent="0.15">
      <c r="A1292" s="26">
        <f t="shared" si="40"/>
        <v>6206</v>
      </c>
      <c r="B1292" s="27" t="s">
        <v>3094</v>
      </c>
      <c r="C1292" s="26" t="s">
        <v>1481</v>
      </c>
      <c r="D1292" s="26">
        <v>-7</v>
      </c>
      <c r="E1292" s="26">
        <v>-62</v>
      </c>
      <c r="F1292" s="26">
        <v>110</v>
      </c>
      <c r="G1292" s="26">
        <v>111.25</v>
      </c>
      <c r="I1292" s="26" t="str">
        <f t="shared" si="41"/>
        <v>-</v>
      </c>
    </row>
    <row r="1293" spans="1:9" x14ac:dyDescent="0.15">
      <c r="A1293" s="26">
        <f t="shared" si="40"/>
        <v>6207</v>
      </c>
      <c r="B1293" s="27" t="s">
        <v>3095</v>
      </c>
      <c r="C1293" s="26" t="s">
        <v>1482</v>
      </c>
      <c r="D1293" s="26">
        <v>0</v>
      </c>
      <c r="E1293" s="26">
        <v>0</v>
      </c>
      <c r="F1293" s="26">
        <v>26</v>
      </c>
      <c r="G1293" s="26">
        <v>25.25</v>
      </c>
      <c r="I1293" s="26" t="str">
        <f t="shared" si="41"/>
        <v>Y</v>
      </c>
    </row>
    <row r="1294" spans="1:9" x14ac:dyDescent="0.15">
      <c r="A1294" s="26">
        <f t="shared" si="40"/>
        <v>6208</v>
      </c>
      <c r="B1294" s="27" t="s">
        <v>3096</v>
      </c>
      <c r="C1294" s="26" t="s">
        <v>1483</v>
      </c>
      <c r="D1294" s="26">
        <v>24</v>
      </c>
      <c r="E1294" s="26">
        <v>0</v>
      </c>
      <c r="F1294" s="26">
        <v>11.95</v>
      </c>
      <c r="G1294" s="26">
        <v>11.75</v>
      </c>
      <c r="I1294" s="26" t="str">
        <f t="shared" si="41"/>
        <v>Y</v>
      </c>
    </row>
    <row r="1295" spans="1:9" x14ac:dyDescent="0.15">
      <c r="A1295" s="26">
        <f t="shared" si="40"/>
        <v>6209</v>
      </c>
      <c r="B1295" s="27" t="s">
        <v>3097</v>
      </c>
      <c r="C1295" s="26" t="s">
        <v>1484</v>
      </c>
      <c r="D1295" s="26">
        <v>-5</v>
      </c>
      <c r="E1295" s="26">
        <v>0</v>
      </c>
      <c r="F1295" s="26">
        <v>17.95</v>
      </c>
      <c r="G1295" s="26">
        <v>17.510000000000002</v>
      </c>
      <c r="I1295" s="26" t="str">
        <f t="shared" si="41"/>
        <v>Y</v>
      </c>
    </row>
    <row r="1296" spans="1:9" x14ac:dyDescent="0.15">
      <c r="A1296" s="26">
        <f t="shared" si="40"/>
        <v>6210</v>
      </c>
      <c r="B1296" s="27" t="s">
        <v>3098</v>
      </c>
      <c r="C1296" s="26" t="s">
        <v>1485</v>
      </c>
      <c r="D1296" s="26">
        <v>-13</v>
      </c>
      <c r="E1296" s="26">
        <v>0</v>
      </c>
      <c r="F1296" s="26">
        <v>47.4</v>
      </c>
      <c r="G1296" s="26">
        <v>45.67</v>
      </c>
      <c r="I1296" s="26" t="str">
        <f t="shared" si="41"/>
        <v>Y</v>
      </c>
    </row>
    <row r="1297" spans="1:9" x14ac:dyDescent="0.15">
      <c r="A1297" s="26">
        <f t="shared" si="40"/>
        <v>6212</v>
      </c>
      <c r="B1297" s="27" t="s">
        <v>3099</v>
      </c>
      <c r="C1297" s="26" t="s">
        <v>1486</v>
      </c>
      <c r="D1297" s="26">
        <v>0</v>
      </c>
      <c r="E1297" s="26">
        <v>0</v>
      </c>
      <c r="F1297" s="26">
        <v>27.65</v>
      </c>
      <c r="G1297" s="26">
        <v>26.88</v>
      </c>
      <c r="I1297" s="26" t="str">
        <f t="shared" si="41"/>
        <v>Y</v>
      </c>
    </row>
    <row r="1298" spans="1:9" x14ac:dyDescent="0.15">
      <c r="A1298" s="26">
        <f t="shared" si="40"/>
        <v>6213</v>
      </c>
      <c r="B1298" s="27" t="s">
        <v>3100</v>
      </c>
      <c r="C1298" s="26" t="s">
        <v>1487</v>
      </c>
      <c r="D1298" s="26">
        <v>-81</v>
      </c>
      <c r="E1298" s="26">
        <v>0</v>
      </c>
      <c r="F1298" s="26">
        <v>26.5</v>
      </c>
      <c r="G1298" s="26">
        <v>26.34</v>
      </c>
      <c r="I1298" s="26" t="str">
        <f t="shared" si="41"/>
        <v>Y</v>
      </c>
    </row>
    <row r="1299" spans="1:9" x14ac:dyDescent="0.15">
      <c r="A1299" s="26">
        <f t="shared" si="40"/>
        <v>6214</v>
      </c>
      <c r="B1299" s="27" t="s">
        <v>3101</v>
      </c>
      <c r="C1299" s="26" t="s">
        <v>1488</v>
      </c>
      <c r="D1299" s="26">
        <v>376</v>
      </c>
      <c r="E1299" s="26">
        <v>0</v>
      </c>
      <c r="F1299" s="26">
        <v>55.8</v>
      </c>
      <c r="G1299" s="26">
        <v>53.99</v>
      </c>
      <c r="I1299" s="26" t="str">
        <f t="shared" si="41"/>
        <v>Y</v>
      </c>
    </row>
    <row r="1300" spans="1:9" x14ac:dyDescent="0.15">
      <c r="A1300" s="26">
        <f t="shared" si="40"/>
        <v>6215</v>
      </c>
      <c r="B1300" s="27" t="s">
        <v>3102</v>
      </c>
      <c r="C1300" s="26" t="s">
        <v>1489</v>
      </c>
      <c r="D1300" s="26">
        <v>-4</v>
      </c>
      <c r="E1300" s="26">
        <v>0</v>
      </c>
      <c r="F1300" s="26">
        <v>13.45</v>
      </c>
      <c r="G1300" s="26">
        <v>12.74</v>
      </c>
      <c r="I1300" s="26" t="str">
        <f t="shared" si="41"/>
        <v>Y</v>
      </c>
    </row>
    <row r="1301" spans="1:9" x14ac:dyDescent="0.15">
      <c r="A1301" s="26">
        <f t="shared" si="40"/>
        <v>6216</v>
      </c>
      <c r="B1301" s="27" t="s">
        <v>3103</v>
      </c>
      <c r="C1301" s="26" t="s">
        <v>1490</v>
      </c>
      <c r="D1301" s="26">
        <v>-1</v>
      </c>
      <c r="E1301" s="26">
        <v>0</v>
      </c>
      <c r="F1301" s="26">
        <v>28.85</v>
      </c>
      <c r="G1301" s="26">
        <v>28.43</v>
      </c>
      <c r="I1301" s="26" t="str">
        <f t="shared" si="41"/>
        <v>Y</v>
      </c>
    </row>
    <row r="1302" spans="1:9" x14ac:dyDescent="0.15">
      <c r="A1302" s="26">
        <f t="shared" si="40"/>
        <v>6217</v>
      </c>
      <c r="B1302" s="27" t="s">
        <v>3104</v>
      </c>
      <c r="C1302" s="26" t="s">
        <v>1491</v>
      </c>
      <c r="D1302" s="26">
        <v>-26</v>
      </c>
      <c r="E1302" s="26">
        <v>0</v>
      </c>
      <c r="F1302" s="26">
        <v>44.6</v>
      </c>
      <c r="G1302" s="26">
        <v>44.61</v>
      </c>
      <c r="I1302" s="26" t="str">
        <f t="shared" si="41"/>
        <v>-</v>
      </c>
    </row>
    <row r="1303" spans="1:9" x14ac:dyDescent="0.15">
      <c r="A1303" s="26">
        <f t="shared" si="40"/>
        <v>6218</v>
      </c>
      <c r="B1303" s="27" t="s">
        <v>3105</v>
      </c>
      <c r="C1303" s="26" t="s">
        <v>1492</v>
      </c>
      <c r="D1303" s="26">
        <v>3</v>
      </c>
      <c r="E1303" s="26">
        <v>0</v>
      </c>
      <c r="F1303" s="26">
        <v>18</v>
      </c>
      <c r="G1303" s="26">
        <v>17.75</v>
      </c>
      <c r="I1303" s="26" t="str">
        <f t="shared" si="41"/>
        <v>Y</v>
      </c>
    </row>
    <row r="1304" spans="1:9" x14ac:dyDescent="0.15">
      <c r="A1304" s="26">
        <f t="shared" si="40"/>
        <v>6219</v>
      </c>
      <c r="B1304" s="27" t="s">
        <v>3106</v>
      </c>
      <c r="C1304" s="26" t="s">
        <v>1493</v>
      </c>
      <c r="D1304" s="26">
        <v>0</v>
      </c>
      <c r="E1304" s="26">
        <v>0</v>
      </c>
      <c r="F1304" s="26">
        <v>11.6</v>
      </c>
      <c r="G1304" s="26">
        <v>11.66</v>
      </c>
      <c r="I1304" s="26" t="str">
        <f t="shared" si="41"/>
        <v>-</v>
      </c>
    </row>
    <row r="1305" spans="1:9" x14ac:dyDescent="0.15">
      <c r="A1305" s="26">
        <f t="shared" si="40"/>
        <v>6220</v>
      </c>
      <c r="B1305" s="27" t="s">
        <v>3107</v>
      </c>
      <c r="C1305" s="26" t="s">
        <v>1494</v>
      </c>
      <c r="D1305" s="26">
        <v>43</v>
      </c>
      <c r="E1305" s="26">
        <v>0</v>
      </c>
      <c r="F1305" s="26">
        <v>14.95</v>
      </c>
      <c r="G1305" s="26">
        <v>14.92</v>
      </c>
      <c r="I1305" s="26" t="str">
        <f t="shared" si="41"/>
        <v>Y</v>
      </c>
    </row>
    <row r="1306" spans="1:9" x14ac:dyDescent="0.15">
      <c r="A1306" s="26">
        <f t="shared" si="40"/>
        <v>6221</v>
      </c>
      <c r="B1306" s="27" t="s">
        <v>3108</v>
      </c>
      <c r="C1306" s="26" t="s">
        <v>1495</v>
      </c>
      <c r="D1306" s="26">
        <v>5</v>
      </c>
      <c r="E1306" s="26">
        <v>0</v>
      </c>
      <c r="F1306" s="26">
        <v>25.15</v>
      </c>
      <c r="G1306" s="26">
        <v>24.38</v>
      </c>
      <c r="I1306" s="26" t="str">
        <f t="shared" si="41"/>
        <v>Y</v>
      </c>
    </row>
    <row r="1307" spans="1:9" x14ac:dyDescent="0.15">
      <c r="A1307" s="26">
        <f t="shared" si="40"/>
        <v>6222</v>
      </c>
      <c r="B1307" s="27" t="s">
        <v>3109</v>
      </c>
      <c r="C1307" s="26" t="s">
        <v>1496</v>
      </c>
      <c r="D1307" s="26">
        <v>0</v>
      </c>
      <c r="E1307" s="26">
        <v>0</v>
      </c>
      <c r="F1307" s="26">
        <v>7.7</v>
      </c>
      <c r="G1307" s="26">
        <v>7.46</v>
      </c>
      <c r="I1307" s="26" t="str">
        <f t="shared" si="41"/>
        <v>Y</v>
      </c>
    </row>
    <row r="1308" spans="1:9" x14ac:dyDescent="0.15">
      <c r="A1308" s="26">
        <f t="shared" si="40"/>
        <v>6223</v>
      </c>
      <c r="B1308" s="27" t="s">
        <v>3110</v>
      </c>
      <c r="C1308" s="26" t="s">
        <v>1497</v>
      </c>
      <c r="D1308" s="26">
        <v>83</v>
      </c>
      <c r="E1308" s="26">
        <v>0</v>
      </c>
      <c r="F1308" s="26">
        <v>80.2</v>
      </c>
      <c r="G1308" s="26">
        <v>74.88</v>
      </c>
      <c r="I1308" s="26" t="str">
        <f t="shared" si="41"/>
        <v>Y</v>
      </c>
    </row>
    <row r="1309" spans="1:9" x14ac:dyDescent="0.15">
      <c r="A1309" s="26">
        <f t="shared" si="40"/>
        <v>6224</v>
      </c>
      <c r="B1309" s="27" t="s">
        <v>3111</v>
      </c>
      <c r="C1309" s="26" t="s">
        <v>1498</v>
      </c>
      <c r="D1309" s="26">
        <v>-4</v>
      </c>
      <c r="E1309" s="26">
        <v>0</v>
      </c>
      <c r="F1309" s="26">
        <v>66</v>
      </c>
      <c r="G1309" s="26">
        <v>65.06</v>
      </c>
      <c r="I1309" s="26" t="str">
        <f t="shared" si="41"/>
        <v>Y</v>
      </c>
    </row>
    <row r="1310" spans="1:9" x14ac:dyDescent="0.15">
      <c r="A1310" s="26">
        <f t="shared" si="40"/>
        <v>6225</v>
      </c>
      <c r="B1310" s="27" t="s">
        <v>3112</v>
      </c>
      <c r="C1310" s="26" t="s">
        <v>1499</v>
      </c>
      <c r="D1310" s="26">
        <v>0</v>
      </c>
      <c r="E1310" s="26">
        <v>0</v>
      </c>
      <c r="F1310" s="26">
        <v>2.4900000000000002</v>
      </c>
      <c r="G1310" s="26">
        <v>2.57</v>
      </c>
      <c r="I1310" s="26" t="str">
        <f t="shared" si="41"/>
        <v>-</v>
      </c>
    </row>
    <row r="1311" spans="1:9" x14ac:dyDescent="0.15">
      <c r="A1311" s="26">
        <f t="shared" si="40"/>
        <v>6226</v>
      </c>
      <c r="B1311" s="27" t="s">
        <v>3113</v>
      </c>
      <c r="C1311" s="26" t="s">
        <v>1500</v>
      </c>
      <c r="D1311" s="26">
        <v>-4</v>
      </c>
      <c r="E1311" s="26">
        <v>0</v>
      </c>
      <c r="F1311" s="26">
        <v>6.13</v>
      </c>
      <c r="G1311" s="26">
        <v>5.76</v>
      </c>
      <c r="I1311" s="26" t="str">
        <f t="shared" si="41"/>
        <v>Y</v>
      </c>
    </row>
    <row r="1312" spans="1:9" x14ac:dyDescent="0.15">
      <c r="A1312" s="26">
        <f t="shared" si="40"/>
        <v>6227</v>
      </c>
      <c r="B1312" s="27" t="s">
        <v>3114</v>
      </c>
      <c r="C1312" s="26" t="s">
        <v>1501</v>
      </c>
      <c r="D1312" s="26">
        <v>0</v>
      </c>
      <c r="E1312" s="26">
        <v>0</v>
      </c>
      <c r="F1312" s="26">
        <v>28.5</v>
      </c>
      <c r="G1312" s="26">
        <v>27.05</v>
      </c>
      <c r="I1312" s="26" t="str">
        <f t="shared" si="41"/>
        <v>Y</v>
      </c>
    </row>
    <row r="1313" spans="1:9" x14ac:dyDescent="0.15">
      <c r="A1313" s="26">
        <f t="shared" si="40"/>
        <v>6228</v>
      </c>
      <c r="B1313" s="27" t="s">
        <v>3115</v>
      </c>
      <c r="C1313" s="26" t="s">
        <v>1502</v>
      </c>
      <c r="D1313" s="26">
        <v>6</v>
      </c>
      <c r="E1313" s="26">
        <v>0</v>
      </c>
      <c r="F1313" s="26">
        <v>10.7</v>
      </c>
      <c r="G1313" s="26">
        <v>10.63</v>
      </c>
      <c r="I1313" s="26" t="str">
        <f t="shared" si="41"/>
        <v>Y</v>
      </c>
    </row>
    <row r="1314" spans="1:9" x14ac:dyDescent="0.15">
      <c r="A1314" s="26">
        <f t="shared" si="40"/>
        <v>6229</v>
      </c>
      <c r="B1314" s="27" t="s">
        <v>3116</v>
      </c>
      <c r="C1314" s="26" t="s">
        <v>1503</v>
      </c>
      <c r="D1314" s="26">
        <v>6</v>
      </c>
      <c r="E1314" s="26">
        <v>0</v>
      </c>
      <c r="F1314" s="26">
        <v>12</v>
      </c>
      <c r="G1314" s="26">
        <v>11.03</v>
      </c>
      <c r="I1314" s="26" t="str">
        <f t="shared" si="41"/>
        <v>Y</v>
      </c>
    </row>
    <row r="1315" spans="1:9" x14ac:dyDescent="0.15">
      <c r="A1315" s="26">
        <f t="shared" si="40"/>
        <v>6230</v>
      </c>
      <c r="B1315" s="27" t="s">
        <v>3117</v>
      </c>
      <c r="C1315" s="26" t="s">
        <v>1504</v>
      </c>
      <c r="D1315" s="26">
        <v>35</v>
      </c>
      <c r="E1315" s="26">
        <v>0</v>
      </c>
      <c r="F1315" s="26">
        <v>161.5</v>
      </c>
      <c r="G1315" s="26">
        <v>156.13</v>
      </c>
      <c r="I1315" s="26" t="str">
        <f t="shared" si="41"/>
        <v>Y</v>
      </c>
    </row>
    <row r="1316" spans="1:9" x14ac:dyDescent="0.15">
      <c r="A1316" s="26">
        <f t="shared" si="40"/>
        <v>6231</v>
      </c>
      <c r="B1316" s="27" t="s">
        <v>3118</v>
      </c>
      <c r="C1316" s="26" t="s">
        <v>1505</v>
      </c>
      <c r="D1316" s="26">
        <v>-1</v>
      </c>
      <c r="E1316" s="26">
        <v>0</v>
      </c>
      <c r="F1316" s="26">
        <v>24</v>
      </c>
      <c r="G1316" s="26">
        <v>23.87</v>
      </c>
      <c r="I1316" s="26" t="str">
        <f t="shared" si="41"/>
        <v>Y</v>
      </c>
    </row>
    <row r="1317" spans="1:9" x14ac:dyDescent="0.15">
      <c r="A1317" s="26">
        <f t="shared" si="40"/>
        <v>6233</v>
      </c>
      <c r="B1317" s="27" t="s">
        <v>3119</v>
      </c>
      <c r="C1317" s="26" t="s">
        <v>1506</v>
      </c>
      <c r="D1317" s="26">
        <v>-6</v>
      </c>
      <c r="E1317" s="26">
        <v>0</v>
      </c>
      <c r="F1317" s="26">
        <v>13.25</v>
      </c>
      <c r="G1317" s="26">
        <v>12.82</v>
      </c>
      <c r="I1317" s="26" t="str">
        <f t="shared" si="41"/>
        <v>Y</v>
      </c>
    </row>
    <row r="1318" spans="1:9" x14ac:dyDescent="0.15">
      <c r="A1318" s="26">
        <f t="shared" si="40"/>
        <v>6234</v>
      </c>
      <c r="B1318" s="27" t="s">
        <v>3120</v>
      </c>
      <c r="C1318" s="26" t="s">
        <v>1507</v>
      </c>
      <c r="D1318" s="26">
        <v>0</v>
      </c>
      <c r="E1318" s="26">
        <v>0</v>
      </c>
      <c r="F1318" s="26">
        <v>19.350000000000001</v>
      </c>
      <c r="G1318" s="26">
        <v>18.64</v>
      </c>
      <c r="I1318" s="26" t="str">
        <f t="shared" si="41"/>
        <v>Y</v>
      </c>
    </row>
    <row r="1319" spans="1:9" x14ac:dyDescent="0.15">
      <c r="A1319" s="26">
        <f t="shared" si="40"/>
        <v>6235</v>
      </c>
      <c r="B1319" s="27" t="s">
        <v>3121</v>
      </c>
      <c r="C1319" s="26" t="s">
        <v>1508</v>
      </c>
      <c r="D1319" s="26">
        <v>-45</v>
      </c>
      <c r="E1319" s="26">
        <v>0</v>
      </c>
      <c r="F1319" s="26">
        <v>11.1</v>
      </c>
      <c r="G1319" s="26">
        <v>9.83</v>
      </c>
      <c r="I1319" s="26" t="str">
        <f t="shared" si="41"/>
        <v>Y</v>
      </c>
    </row>
    <row r="1320" spans="1:9" x14ac:dyDescent="0.15">
      <c r="A1320" s="26">
        <f t="shared" si="40"/>
        <v>6236</v>
      </c>
      <c r="B1320" s="27" t="s">
        <v>3122</v>
      </c>
      <c r="C1320" s="26" t="s">
        <v>1509</v>
      </c>
      <c r="D1320" s="26">
        <v>12</v>
      </c>
      <c r="E1320" s="26">
        <v>0</v>
      </c>
      <c r="F1320" s="26">
        <v>33.9</v>
      </c>
      <c r="G1320" s="26">
        <v>32.72</v>
      </c>
      <c r="I1320" s="26" t="str">
        <f t="shared" si="41"/>
        <v>Y</v>
      </c>
    </row>
    <row r="1321" spans="1:9" x14ac:dyDescent="0.15">
      <c r="A1321" s="26">
        <f t="shared" si="40"/>
        <v>6237</v>
      </c>
      <c r="B1321" s="27" t="s">
        <v>3123</v>
      </c>
      <c r="C1321" s="26" t="s">
        <v>1510</v>
      </c>
      <c r="D1321" s="26">
        <v>47</v>
      </c>
      <c r="E1321" s="26">
        <v>0</v>
      </c>
      <c r="F1321" s="26">
        <v>35.799999999999997</v>
      </c>
      <c r="G1321" s="26">
        <v>35.33</v>
      </c>
      <c r="I1321" s="26" t="str">
        <f t="shared" si="41"/>
        <v>Y</v>
      </c>
    </row>
    <row r="1322" spans="1:9" x14ac:dyDescent="0.15">
      <c r="A1322" s="26">
        <f t="shared" si="40"/>
        <v>6238</v>
      </c>
      <c r="B1322" s="27" t="s">
        <v>3124</v>
      </c>
      <c r="C1322" s="26" t="s">
        <v>1511</v>
      </c>
      <c r="D1322" s="26">
        <v>195</v>
      </c>
      <c r="E1322" s="26">
        <v>62</v>
      </c>
      <c r="F1322" s="26">
        <v>271</v>
      </c>
      <c r="G1322" s="26">
        <v>252.79</v>
      </c>
      <c r="I1322" s="26" t="str">
        <f t="shared" si="41"/>
        <v>Y</v>
      </c>
    </row>
    <row r="1323" spans="1:9" x14ac:dyDescent="0.15">
      <c r="A1323" s="26">
        <f t="shared" si="40"/>
        <v>6239</v>
      </c>
      <c r="B1323" s="27" t="s">
        <v>3125</v>
      </c>
      <c r="C1323" s="26" t="s">
        <v>1512</v>
      </c>
      <c r="D1323" s="26">
        <v>736</v>
      </c>
      <c r="E1323" s="26">
        <v>-952</v>
      </c>
      <c r="F1323" s="26">
        <v>70.099999999999994</v>
      </c>
      <c r="G1323" s="26">
        <v>71.58</v>
      </c>
      <c r="I1323" s="26" t="str">
        <f t="shared" si="41"/>
        <v>-</v>
      </c>
    </row>
    <row r="1324" spans="1:9" x14ac:dyDescent="0.15">
      <c r="A1324" s="26">
        <f t="shared" si="40"/>
        <v>6240</v>
      </c>
      <c r="B1324" s="27" t="s">
        <v>3126</v>
      </c>
      <c r="C1324" s="26" t="s">
        <v>1513</v>
      </c>
      <c r="D1324" s="26">
        <v>0</v>
      </c>
      <c r="E1324" s="26">
        <v>0</v>
      </c>
      <c r="F1324" s="26">
        <v>28</v>
      </c>
      <c r="G1324" s="26">
        <v>28.46</v>
      </c>
      <c r="I1324" s="26" t="str">
        <f t="shared" si="41"/>
        <v>-</v>
      </c>
    </row>
    <row r="1325" spans="1:9" x14ac:dyDescent="0.15">
      <c r="A1325" s="26">
        <f t="shared" si="40"/>
        <v>6241</v>
      </c>
      <c r="B1325" s="27" t="s">
        <v>3127</v>
      </c>
      <c r="C1325" s="26" t="s">
        <v>1514</v>
      </c>
      <c r="D1325" s="26">
        <v>0</v>
      </c>
      <c r="E1325" s="26">
        <v>0</v>
      </c>
      <c r="F1325" s="26">
        <v>12.7</v>
      </c>
      <c r="G1325" s="26">
        <v>12.73</v>
      </c>
      <c r="I1325" s="26" t="str">
        <f t="shared" si="41"/>
        <v>-</v>
      </c>
    </row>
    <row r="1326" spans="1:9" x14ac:dyDescent="0.15">
      <c r="A1326" s="26">
        <f t="shared" si="40"/>
        <v>6242</v>
      </c>
      <c r="B1326" s="27" t="s">
        <v>3128</v>
      </c>
      <c r="C1326" s="26" t="s">
        <v>1515</v>
      </c>
      <c r="D1326" s="26">
        <v>0</v>
      </c>
      <c r="E1326" s="26">
        <v>0</v>
      </c>
      <c r="F1326" s="26">
        <v>45.9</v>
      </c>
      <c r="G1326" s="26">
        <v>45.9</v>
      </c>
      <c r="I1326" s="26" t="str">
        <f t="shared" si="41"/>
        <v>-</v>
      </c>
    </row>
    <row r="1327" spans="1:9" x14ac:dyDescent="0.15">
      <c r="A1327" s="26">
        <f t="shared" si="40"/>
        <v>6243</v>
      </c>
      <c r="B1327" s="27" t="s">
        <v>3129</v>
      </c>
      <c r="C1327" s="26" t="s">
        <v>1516</v>
      </c>
      <c r="D1327" s="26">
        <v>13</v>
      </c>
      <c r="E1327" s="26">
        <v>0</v>
      </c>
      <c r="F1327" s="26">
        <v>17.45</v>
      </c>
      <c r="G1327" s="26">
        <v>16.87</v>
      </c>
      <c r="I1327" s="26" t="str">
        <f t="shared" si="41"/>
        <v>Y</v>
      </c>
    </row>
    <row r="1328" spans="1:9" x14ac:dyDescent="0.15">
      <c r="A1328" s="26">
        <f t="shared" si="40"/>
        <v>6244</v>
      </c>
      <c r="B1328" s="27" t="s">
        <v>3130</v>
      </c>
      <c r="C1328" s="26" t="s">
        <v>1517</v>
      </c>
      <c r="D1328" s="26">
        <v>-774</v>
      </c>
      <c r="E1328" s="26">
        <v>-80</v>
      </c>
      <c r="F1328" s="26">
        <v>38.85</v>
      </c>
      <c r="G1328" s="26">
        <v>40.9</v>
      </c>
      <c r="I1328" s="26" t="str">
        <f t="shared" si="41"/>
        <v>-</v>
      </c>
    </row>
    <row r="1329" spans="1:9" x14ac:dyDescent="0.15">
      <c r="A1329" s="26">
        <f t="shared" si="40"/>
        <v>6245</v>
      </c>
      <c r="B1329" s="27" t="s">
        <v>3131</v>
      </c>
      <c r="C1329" s="26" t="s">
        <v>1518</v>
      </c>
      <c r="D1329" s="26">
        <v>-105</v>
      </c>
      <c r="E1329" s="26">
        <v>200</v>
      </c>
      <c r="F1329" s="26">
        <v>41.35</v>
      </c>
      <c r="G1329" s="26">
        <v>39.99</v>
      </c>
      <c r="I1329" s="26" t="str">
        <f t="shared" si="41"/>
        <v>Y</v>
      </c>
    </row>
    <row r="1330" spans="1:9" x14ac:dyDescent="0.15">
      <c r="A1330" s="26">
        <f t="shared" si="40"/>
        <v>6246</v>
      </c>
      <c r="B1330" s="27" t="s">
        <v>3132</v>
      </c>
      <c r="C1330" s="26" t="s">
        <v>1519</v>
      </c>
      <c r="D1330" s="26">
        <v>0</v>
      </c>
      <c r="E1330" s="26">
        <v>0</v>
      </c>
      <c r="F1330" s="26">
        <v>2.57</v>
      </c>
      <c r="G1330" s="26">
        <v>2.78</v>
      </c>
      <c r="I1330" s="26" t="str">
        <f t="shared" si="41"/>
        <v>-</v>
      </c>
    </row>
    <row r="1331" spans="1:9" x14ac:dyDescent="0.15">
      <c r="A1331" s="26">
        <f t="shared" si="40"/>
        <v>6247</v>
      </c>
      <c r="B1331" s="27" t="s">
        <v>3133</v>
      </c>
      <c r="C1331" s="26" t="s">
        <v>1520</v>
      </c>
      <c r="D1331" s="26">
        <v>1</v>
      </c>
      <c r="E1331" s="26">
        <v>0</v>
      </c>
      <c r="F1331" s="26">
        <v>13.25</v>
      </c>
      <c r="G1331" s="26">
        <v>12.93</v>
      </c>
      <c r="I1331" s="26" t="str">
        <f t="shared" si="41"/>
        <v>Y</v>
      </c>
    </row>
    <row r="1332" spans="1:9" x14ac:dyDescent="0.15">
      <c r="A1332" s="26">
        <f t="shared" si="40"/>
        <v>6248</v>
      </c>
      <c r="B1332" s="27" t="s">
        <v>3134</v>
      </c>
      <c r="C1332" s="26" t="s">
        <v>1521</v>
      </c>
      <c r="D1332" s="26">
        <v>0</v>
      </c>
      <c r="E1332" s="26">
        <v>0</v>
      </c>
      <c r="F1332" s="26">
        <v>29.65</v>
      </c>
      <c r="G1332" s="26">
        <v>29.67</v>
      </c>
      <c r="I1332" s="26" t="str">
        <f t="shared" si="41"/>
        <v>-</v>
      </c>
    </row>
    <row r="1333" spans="1:9" x14ac:dyDescent="0.15">
      <c r="A1333" s="26">
        <f t="shared" si="40"/>
        <v>6250</v>
      </c>
      <c r="B1333" s="27" t="s">
        <v>3135</v>
      </c>
      <c r="C1333" s="26" t="s">
        <v>1522</v>
      </c>
      <c r="I1333" s="26" t="str">
        <f t="shared" si="41"/>
        <v>-</v>
      </c>
    </row>
    <row r="1334" spans="1:9" x14ac:dyDescent="0.15">
      <c r="A1334" s="26">
        <f t="shared" si="40"/>
        <v>6251</v>
      </c>
      <c r="B1334" s="27" t="s">
        <v>3136</v>
      </c>
      <c r="C1334" s="26" t="s">
        <v>1523</v>
      </c>
      <c r="D1334" s="26">
        <v>-16</v>
      </c>
      <c r="E1334" s="26">
        <v>0</v>
      </c>
      <c r="F1334" s="26">
        <v>9.6300000000000008</v>
      </c>
      <c r="G1334" s="26">
        <v>9.42</v>
      </c>
      <c r="I1334" s="26" t="str">
        <f t="shared" si="41"/>
        <v>Y</v>
      </c>
    </row>
    <row r="1335" spans="1:9" x14ac:dyDescent="0.15">
      <c r="A1335" s="26">
        <f t="shared" si="40"/>
        <v>6257</v>
      </c>
      <c r="B1335" s="27" t="s">
        <v>3137</v>
      </c>
      <c r="C1335" s="26" t="s">
        <v>1524</v>
      </c>
      <c r="D1335" s="26">
        <v>-55</v>
      </c>
      <c r="E1335" s="26">
        <v>560</v>
      </c>
      <c r="F1335" s="26">
        <v>24.15</v>
      </c>
      <c r="G1335" s="26">
        <v>23.02</v>
      </c>
      <c r="I1335" s="26" t="str">
        <f t="shared" si="41"/>
        <v>Y</v>
      </c>
    </row>
    <row r="1336" spans="1:9" x14ac:dyDescent="0.15">
      <c r="A1336" s="26">
        <f t="shared" si="40"/>
        <v>6259</v>
      </c>
      <c r="B1336" s="27" t="s">
        <v>3138</v>
      </c>
      <c r="C1336" s="26" t="s">
        <v>1525</v>
      </c>
      <c r="D1336" s="26">
        <v>14</v>
      </c>
      <c r="E1336" s="26">
        <v>0</v>
      </c>
      <c r="F1336" s="26">
        <v>7.61</v>
      </c>
      <c r="G1336" s="26">
        <v>7.63</v>
      </c>
      <c r="I1336" s="26" t="str">
        <f t="shared" si="41"/>
        <v>-</v>
      </c>
    </row>
    <row r="1337" spans="1:9" x14ac:dyDescent="0.15">
      <c r="A1337" s="26">
        <f t="shared" si="40"/>
        <v>6261</v>
      </c>
      <c r="B1337" s="27" t="s">
        <v>3139</v>
      </c>
      <c r="C1337" s="26" t="s">
        <v>1526</v>
      </c>
      <c r="D1337" s="26">
        <v>4</v>
      </c>
      <c r="E1337" s="26">
        <v>0</v>
      </c>
      <c r="F1337" s="26">
        <v>49</v>
      </c>
      <c r="G1337" s="26">
        <v>48.4</v>
      </c>
      <c r="I1337" s="26" t="str">
        <f t="shared" si="41"/>
        <v>Y</v>
      </c>
    </row>
    <row r="1338" spans="1:9" x14ac:dyDescent="0.15">
      <c r="A1338" s="26">
        <f t="shared" si="40"/>
        <v>6263</v>
      </c>
      <c r="B1338" s="27" t="s">
        <v>3140</v>
      </c>
      <c r="C1338" s="26" t="s">
        <v>1527</v>
      </c>
      <c r="D1338" s="26">
        <v>-4</v>
      </c>
      <c r="E1338" s="26">
        <v>0</v>
      </c>
      <c r="F1338" s="26">
        <v>45.7</v>
      </c>
      <c r="G1338" s="26">
        <v>44.32</v>
      </c>
      <c r="I1338" s="26" t="str">
        <f t="shared" si="41"/>
        <v>Y</v>
      </c>
    </row>
    <row r="1339" spans="1:9" x14ac:dyDescent="0.15">
      <c r="A1339" s="26">
        <f t="shared" si="40"/>
        <v>6264</v>
      </c>
      <c r="B1339" s="27" t="s">
        <v>3141</v>
      </c>
      <c r="C1339" s="26" t="s">
        <v>1528</v>
      </c>
      <c r="D1339" s="26">
        <v>-4</v>
      </c>
      <c r="E1339" s="26">
        <v>0</v>
      </c>
      <c r="F1339" s="26">
        <v>7.98</v>
      </c>
      <c r="G1339" s="26">
        <v>8.52</v>
      </c>
      <c r="I1339" s="26" t="str">
        <f t="shared" si="41"/>
        <v>-</v>
      </c>
    </row>
    <row r="1340" spans="1:9" x14ac:dyDescent="0.15">
      <c r="A1340" s="26">
        <f t="shared" si="40"/>
        <v>6265</v>
      </c>
      <c r="B1340" s="27" t="s">
        <v>3142</v>
      </c>
      <c r="C1340" s="26" t="s">
        <v>1529</v>
      </c>
      <c r="D1340" s="26">
        <v>0</v>
      </c>
      <c r="E1340" s="26">
        <v>0</v>
      </c>
      <c r="F1340" s="26">
        <v>7.08</v>
      </c>
      <c r="G1340" s="26">
        <v>6.7</v>
      </c>
      <c r="I1340" s="26" t="str">
        <f t="shared" si="41"/>
        <v>Y</v>
      </c>
    </row>
    <row r="1341" spans="1:9" x14ac:dyDescent="0.15">
      <c r="A1341" s="26">
        <f t="shared" si="40"/>
        <v>6266</v>
      </c>
      <c r="B1341" s="27" t="s">
        <v>3143</v>
      </c>
      <c r="C1341" s="26" t="s">
        <v>1530</v>
      </c>
      <c r="D1341" s="26">
        <v>59</v>
      </c>
      <c r="E1341" s="26">
        <v>0</v>
      </c>
      <c r="F1341" s="26">
        <v>15.45</v>
      </c>
      <c r="G1341" s="26">
        <v>14.61</v>
      </c>
      <c r="I1341" s="26" t="str">
        <f t="shared" si="41"/>
        <v>Y</v>
      </c>
    </row>
    <row r="1342" spans="1:9" x14ac:dyDescent="0.15">
      <c r="A1342" s="26">
        <f t="shared" si="40"/>
        <v>6269</v>
      </c>
      <c r="B1342" s="27" t="s">
        <v>3144</v>
      </c>
      <c r="C1342" s="26" t="s">
        <v>1531</v>
      </c>
      <c r="D1342" s="26">
        <v>550</v>
      </c>
      <c r="E1342" s="26">
        <v>25</v>
      </c>
      <c r="F1342" s="26">
        <v>87.6</v>
      </c>
      <c r="G1342" s="26">
        <v>84.33</v>
      </c>
      <c r="I1342" s="26" t="str">
        <f t="shared" si="41"/>
        <v>Y</v>
      </c>
    </row>
    <row r="1343" spans="1:9" x14ac:dyDescent="0.15">
      <c r="A1343" s="26">
        <f t="shared" si="40"/>
        <v>6270</v>
      </c>
      <c r="B1343" s="27" t="s">
        <v>3145</v>
      </c>
      <c r="C1343" s="26" t="s">
        <v>1532</v>
      </c>
      <c r="D1343" s="26">
        <v>0</v>
      </c>
      <c r="E1343" s="26">
        <v>0</v>
      </c>
      <c r="F1343" s="26">
        <v>10.25</v>
      </c>
      <c r="G1343" s="26">
        <v>10.11</v>
      </c>
      <c r="I1343" s="26" t="str">
        <f t="shared" si="41"/>
        <v>Y</v>
      </c>
    </row>
    <row r="1344" spans="1:9" x14ac:dyDescent="0.15">
      <c r="A1344" s="26">
        <f t="shared" si="40"/>
        <v>6271</v>
      </c>
      <c r="B1344" s="27" t="s">
        <v>3146</v>
      </c>
      <c r="C1344" s="26" t="s">
        <v>1533</v>
      </c>
      <c r="D1344" s="26">
        <v>-453</v>
      </c>
      <c r="E1344" s="26">
        <v>1253</v>
      </c>
      <c r="F1344" s="26">
        <v>90.9</v>
      </c>
      <c r="G1344" s="26">
        <v>81.819999999999993</v>
      </c>
      <c r="I1344" s="26" t="str">
        <f t="shared" si="41"/>
        <v>Y</v>
      </c>
    </row>
    <row r="1345" spans="1:9" x14ac:dyDescent="0.15">
      <c r="A1345" s="26">
        <f t="shared" si="40"/>
        <v>6274</v>
      </c>
      <c r="B1345" s="27" t="s">
        <v>3147</v>
      </c>
      <c r="C1345" s="26" t="s">
        <v>1534</v>
      </c>
      <c r="D1345" s="26">
        <v>106</v>
      </c>
      <c r="E1345" s="26">
        <v>-105</v>
      </c>
      <c r="F1345" s="26">
        <v>26.4</v>
      </c>
      <c r="G1345" s="26">
        <v>25.96</v>
      </c>
      <c r="I1345" s="26" t="str">
        <f t="shared" si="41"/>
        <v>Y</v>
      </c>
    </row>
    <row r="1346" spans="1:9" x14ac:dyDescent="0.15">
      <c r="A1346" s="26">
        <f t="shared" si="40"/>
        <v>6275</v>
      </c>
      <c r="B1346" s="27" t="s">
        <v>3148</v>
      </c>
      <c r="C1346" s="26" t="s">
        <v>1535</v>
      </c>
      <c r="D1346" s="26">
        <v>-1</v>
      </c>
      <c r="E1346" s="26">
        <v>0</v>
      </c>
      <c r="F1346" s="26">
        <v>11.8</v>
      </c>
      <c r="G1346" s="26">
        <v>11.49</v>
      </c>
      <c r="I1346" s="26" t="str">
        <f t="shared" si="41"/>
        <v>Y</v>
      </c>
    </row>
    <row r="1347" spans="1:9" x14ac:dyDescent="0.15">
      <c r="A1347" s="26">
        <f t="shared" si="40"/>
        <v>6276</v>
      </c>
      <c r="B1347" s="27" t="s">
        <v>3149</v>
      </c>
      <c r="C1347" s="26" t="s">
        <v>1536</v>
      </c>
      <c r="D1347" s="26">
        <v>12</v>
      </c>
      <c r="E1347" s="26">
        <v>0</v>
      </c>
      <c r="F1347" s="26">
        <v>6.46</v>
      </c>
      <c r="G1347" s="26">
        <v>6.33</v>
      </c>
      <c r="I1347" s="26" t="str">
        <f t="shared" si="41"/>
        <v>Y</v>
      </c>
    </row>
    <row r="1348" spans="1:9" x14ac:dyDescent="0.15">
      <c r="A1348" s="26">
        <f t="shared" si="40"/>
        <v>6277</v>
      </c>
      <c r="B1348" s="27" t="s">
        <v>3150</v>
      </c>
      <c r="C1348" s="26" t="s">
        <v>1537</v>
      </c>
      <c r="D1348" s="26">
        <v>63</v>
      </c>
      <c r="E1348" s="26">
        <v>68</v>
      </c>
      <c r="F1348" s="26">
        <v>74.7</v>
      </c>
      <c r="G1348" s="26">
        <v>72.09</v>
      </c>
      <c r="I1348" s="26" t="str">
        <f t="shared" si="41"/>
        <v>Y</v>
      </c>
    </row>
    <row r="1349" spans="1:9" x14ac:dyDescent="0.15">
      <c r="A1349" s="26">
        <f t="shared" si="40"/>
        <v>6278</v>
      </c>
      <c r="B1349" s="27" t="s">
        <v>3151</v>
      </c>
      <c r="C1349" s="26" t="s">
        <v>1538</v>
      </c>
      <c r="D1349" s="26">
        <v>-2</v>
      </c>
      <c r="E1349" s="26">
        <v>0</v>
      </c>
      <c r="F1349" s="26">
        <v>31.15</v>
      </c>
      <c r="G1349" s="26">
        <v>29.71</v>
      </c>
      <c r="I1349" s="26" t="str">
        <f t="shared" si="41"/>
        <v>Y</v>
      </c>
    </row>
    <row r="1350" spans="1:9" x14ac:dyDescent="0.15">
      <c r="A1350" s="26">
        <f t="shared" si="40"/>
        <v>6279</v>
      </c>
      <c r="B1350" s="27" t="s">
        <v>3152</v>
      </c>
      <c r="C1350" s="26" t="s">
        <v>1539</v>
      </c>
      <c r="D1350" s="26">
        <v>133</v>
      </c>
      <c r="E1350" s="26">
        <v>-2</v>
      </c>
      <c r="F1350" s="26">
        <v>155.5</v>
      </c>
      <c r="G1350" s="26">
        <v>153.08000000000001</v>
      </c>
      <c r="I1350" s="26" t="str">
        <f t="shared" si="41"/>
        <v>Y</v>
      </c>
    </row>
    <row r="1351" spans="1:9" x14ac:dyDescent="0.15">
      <c r="A1351" s="26">
        <f t="shared" ref="A1351:A1414" si="42">VALUE(B1351)</f>
        <v>6281</v>
      </c>
      <c r="B1351" s="27" t="s">
        <v>3153</v>
      </c>
      <c r="C1351" s="26" t="s">
        <v>1540</v>
      </c>
      <c r="D1351" s="26">
        <v>-14</v>
      </c>
      <c r="E1351" s="26">
        <v>0</v>
      </c>
      <c r="F1351" s="26">
        <v>59.2</v>
      </c>
      <c r="G1351" s="26">
        <v>57.56</v>
      </c>
      <c r="I1351" s="26" t="str">
        <f t="shared" ref="I1351:I1414" si="43">IF(F1351&gt;G1351,"Y","-")</f>
        <v>Y</v>
      </c>
    </row>
    <row r="1352" spans="1:9" x14ac:dyDescent="0.15">
      <c r="A1352" s="26">
        <f t="shared" si="42"/>
        <v>6282</v>
      </c>
      <c r="B1352" s="27" t="s">
        <v>3154</v>
      </c>
      <c r="C1352" s="26" t="s">
        <v>1541</v>
      </c>
      <c r="D1352" s="26">
        <v>-1171</v>
      </c>
      <c r="E1352" s="26">
        <v>0</v>
      </c>
      <c r="F1352" s="26">
        <v>26.15</v>
      </c>
      <c r="G1352" s="26">
        <v>24.36</v>
      </c>
      <c r="I1352" s="26" t="str">
        <f t="shared" si="43"/>
        <v>Y</v>
      </c>
    </row>
    <row r="1353" spans="1:9" x14ac:dyDescent="0.15">
      <c r="A1353" s="26">
        <f t="shared" si="42"/>
        <v>6283</v>
      </c>
      <c r="B1353" s="27" t="s">
        <v>3155</v>
      </c>
      <c r="C1353" s="26" t="s">
        <v>1542</v>
      </c>
      <c r="D1353" s="26">
        <v>-41</v>
      </c>
      <c r="E1353" s="26">
        <v>0</v>
      </c>
      <c r="F1353" s="26">
        <v>4.62</v>
      </c>
      <c r="G1353" s="26">
        <v>4.26</v>
      </c>
      <c r="I1353" s="26" t="str">
        <f t="shared" si="43"/>
        <v>Y</v>
      </c>
    </row>
    <row r="1354" spans="1:9" x14ac:dyDescent="0.15">
      <c r="A1354" s="26">
        <f t="shared" si="42"/>
        <v>6284</v>
      </c>
      <c r="B1354" s="27" t="s">
        <v>3156</v>
      </c>
      <c r="C1354" s="26" t="s">
        <v>1543</v>
      </c>
      <c r="D1354" s="26">
        <v>8</v>
      </c>
      <c r="E1354" s="26">
        <v>0</v>
      </c>
      <c r="F1354" s="26">
        <v>21.85</v>
      </c>
      <c r="G1354" s="26">
        <v>21.88</v>
      </c>
      <c r="I1354" s="26" t="str">
        <f t="shared" si="43"/>
        <v>-</v>
      </c>
    </row>
    <row r="1355" spans="1:9" x14ac:dyDescent="0.15">
      <c r="A1355" s="26">
        <f t="shared" si="42"/>
        <v>6285</v>
      </c>
      <c r="B1355" s="27" t="s">
        <v>3157</v>
      </c>
      <c r="C1355" s="26" t="s">
        <v>1544</v>
      </c>
      <c r="D1355" s="26">
        <v>25</v>
      </c>
      <c r="E1355" s="26">
        <v>-902</v>
      </c>
      <c r="F1355" s="26">
        <v>83.1</v>
      </c>
      <c r="G1355" s="26">
        <v>86.71</v>
      </c>
      <c r="I1355" s="26" t="str">
        <f t="shared" si="43"/>
        <v>-</v>
      </c>
    </row>
    <row r="1356" spans="1:9" x14ac:dyDescent="0.15">
      <c r="A1356" s="26">
        <f t="shared" si="42"/>
        <v>6286</v>
      </c>
      <c r="B1356" s="27" t="s">
        <v>3158</v>
      </c>
      <c r="C1356" s="26" t="s">
        <v>1545</v>
      </c>
      <c r="D1356" s="26">
        <v>-52</v>
      </c>
      <c r="E1356" s="26">
        <v>0</v>
      </c>
      <c r="F1356" s="26">
        <v>193</v>
      </c>
      <c r="G1356" s="26">
        <v>192.63</v>
      </c>
      <c r="I1356" s="26" t="str">
        <f t="shared" si="43"/>
        <v>Y</v>
      </c>
    </row>
    <row r="1357" spans="1:9" x14ac:dyDescent="0.15">
      <c r="A1357" s="26">
        <f t="shared" si="42"/>
        <v>6287</v>
      </c>
      <c r="B1357" s="27" t="s">
        <v>3159</v>
      </c>
      <c r="C1357" s="26" t="s">
        <v>1546</v>
      </c>
      <c r="D1357" s="26">
        <v>0</v>
      </c>
      <c r="E1357" s="26">
        <v>0</v>
      </c>
      <c r="F1357" s="26">
        <v>3.6</v>
      </c>
      <c r="G1357" s="26">
        <v>3.32</v>
      </c>
      <c r="I1357" s="26" t="str">
        <f t="shared" si="43"/>
        <v>Y</v>
      </c>
    </row>
    <row r="1358" spans="1:9" x14ac:dyDescent="0.15">
      <c r="A1358" s="26">
        <f t="shared" si="42"/>
        <v>6289</v>
      </c>
      <c r="B1358" s="27" t="s">
        <v>3160</v>
      </c>
      <c r="C1358" s="26" t="s">
        <v>1547</v>
      </c>
      <c r="D1358" s="26">
        <v>0</v>
      </c>
      <c r="E1358" s="26">
        <v>0</v>
      </c>
      <c r="F1358" s="26">
        <v>1.1299999999999999</v>
      </c>
      <c r="G1358" s="26">
        <v>1.05</v>
      </c>
      <c r="I1358" s="26" t="str">
        <f t="shared" si="43"/>
        <v>Y</v>
      </c>
    </row>
    <row r="1359" spans="1:9" x14ac:dyDescent="0.15">
      <c r="A1359" s="26">
        <f t="shared" si="42"/>
        <v>6290</v>
      </c>
      <c r="B1359" s="27" t="s">
        <v>3161</v>
      </c>
      <c r="C1359" s="26" t="s">
        <v>1548</v>
      </c>
      <c r="D1359" s="26">
        <v>-120</v>
      </c>
      <c r="E1359" s="26">
        <v>0</v>
      </c>
      <c r="F1359" s="26">
        <v>33.15</v>
      </c>
      <c r="G1359" s="26">
        <v>32.619999999999997</v>
      </c>
      <c r="I1359" s="26" t="str">
        <f t="shared" si="43"/>
        <v>Y</v>
      </c>
    </row>
    <row r="1360" spans="1:9" x14ac:dyDescent="0.15">
      <c r="A1360" s="26">
        <f t="shared" si="42"/>
        <v>6291</v>
      </c>
      <c r="B1360" s="27" t="s">
        <v>3162</v>
      </c>
      <c r="C1360" s="26" t="s">
        <v>1549</v>
      </c>
      <c r="D1360" s="26">
        <v>0</v>
      </c>
      <c r="E1360" s="26">
        <v>0</v>
      </c>
      <c r="F1360" s="26">
        <v>2.61</v>
      </c>
      <c r="G1360" s="26">
        <v>2.61</v>
      </c>
      <c r="I1360" s="26" t="str">
        <f t="shared" si="43"/>
        <v>-</v>
      </c>
    </row>
    <row r="1361" spans="1:9" x14ac:dyDescent="0.15">
      <c r="A1361" s="26">
        <f t="shared" si="42"/>
        <v>6292</v>
      </c>
      <c r="B1361" s="27" t="s">
        <v>3163</v>
      </c>
      <c r="C1361" s="26" t="s">
        <v>1550</v>
      </c>
      <c r="D1361" s="26">
        <v>19</v>
      </c>
      <c r="E1361" s="26">
        <v>0</v>
      </c>
      <c r="F1361" s="26">
        <v>30.35</v>
      </c>
      <c r="G1361" s="26">
        <v>29.24</v>
      </c>
      <c r="I1361" s="26" t="str">
        <f t="shared" si="43"/>
        <v>Y</v>
      </c>
    </row>
    <row r="1362" spans="1:9" x14ac:dyDescent="0.15">
      <c r="A1362" s="26">
        <f t="shared" si="42"/>
        <v>6294</v>
      </c>
      <c r="B1362" s="27" t="s">
        <v>3164</v>
      </c>
      <c r="C1362" s="26" t="s">
        <v>1551</v>
      </c>
      <c r="D1362" s="26">
        <v>-6</v>
      </c>
      <c r="E1362" s="26">
        <v>0</v>
      </c>
      <c r="F1362" s="26">
        <v>107</v>
      </c>
      <c r="G1362" s="26">
        <v>96.28</v>
      </c>
      <c r="I1362" s="26" t="str">
        <f t="shared" si="43"/>
        <v>Y</v>
      </c>
    </row>
    <row r="1363" spans="1:9" x14ac:dyDescent="0.15">
      <c r="A1363" s="26">
        <f t="shared" si="42"/>
        <v>6298</v>
      </c>
      <c r="B1363" s="27" t="s">
        <v>3165</v>
      </c>
      <c r="C1363" s="26" t="s">
        <v>1552</v>
      </c>
      <c r="D1363" s="26">
        <v>-24</v>
      </c>
      <c r="E1363" s="26">
        <v>0</v>
      </c>
      <c r="F1363" s="26">
        <v>17.649999999999999</v>
      </c>
      <c r="G1363" s="26">
        <v>16.920000000000002</v>
      </c>
      <c r="I1363" s="26" t="str">
        <f t="shared" si="43"/>
        <v>Y</v>
      </c>
    </row>
    <row r="1364" spans="1:9" x14ac:dyDescent="0.15">
      <c r="A1364" s="26">
        <f t="shared" si="42"/>
        <v>6404</v>
      </c>
      <c r="B1364" s="27" t="s">
        <v>3166</v>
      </c>
      <c r="C1364" s="26" t="s">
        <v>1553</v>
      </c>
      <c r="D1364" s="26">
        <v>-11</v>
      </c>
      <c r="E1364" s="26">
        <v>0</v>
      </c>
      <c r="F1364" s="26">
        <v>36.75</v>
      </c>
      <c r="G1364" s="26">
        <v>36.25</v>
      </c>
      <c r="I1364" s="26" t="str">
        <f t="shared" si="43"/>
        <v>Y</v>
      </c>
    </row>
    <row r="1365" spans="1:9" x14ac:dyDescent="0.15">
      <c r="A1365" s="26">
        <f t="shared" si="42"/>
        <v>6405</v>
      </c>
      <c r="B1365" s="27" t="s">
        <v>3167</v>
      </c>
      <c r="C1365" s="26" t="s">
        <v>1554</v>
      </c>
      <c r="D1365" s="26">
        <v>5</v>
      </c>
      <c r="E1365" s="26">
        <v>0</v>
      </c>
      <c r="F1365" s="26">
        <v>19.649999999999999</v>
      </c>
      <c r="G1365" s="26">
        <v>19.03</v>
      </c>
      <c r="I1365" s="26" t="str">
        <f t="shared" si="43"/>
        <v>Y</v>
      </c>
    </row>
    <row r="1366" spans="1:9" x14ac:dyDescent="0.15">
      <c r="A1366" s="26">
        <f t="shared" si="42"/>
        <v>6409</v>
      </c>
      <c r="B1366" s="27" t="s">
        <v>3168</v>
      </c>
      <c r="C1366" s="26" t="s">
        <v>1555</v>
      </c>
      <c r="D1366" s="26">
        <v>-28</v>
      </c>
      <c r="E1366" s="26">
        <v>-5</v>
      </c>
      <c r="F1366" s="26">
        <v>485.5</v>
      </c>
      <c r="G1366" s="26">
        <v>503.17</v>
      </c>
      <c r="I1366" s="26" t="str">
        <f t="shared" si="43"/>
        <v>-</v>
      </c>
    </row>
    <row r="1367" spans="1:9" x14ac:dyDescent="0.15">
      <c r="A1367" s="26">
        <f t="shared" si="42"/>
        <v>6411</v>
      </c>
      <c r="B1367" s="27" t="s">
        <v>3169</v>
      </c>
      <c r="C1367" s="26" t="s">
        <v>1556</v>
      </c>
      <c r="D1367" s="26">
        <v>-1</v>
      </c>
      <c r="E1367" s="26">
        <v>0</v>
      </c>
      <c r="F1367" s="26">
        <v>35.799999999999997</v>
      </c>
      <c r="G1367" s="26">
        <v>34.65</v>
      </c>
      <c r="I1367" s="26" t="str">
        <f t="shared" si="43"/>
        <v>Y</v>
      </c>
    </row>
    <row r="1368" spans="1:9" x14ac:dyDescent="0.15">
      <c r="A1368" s="26">
        <f t="shared" si="42"/>
        <v>6412</v>
      </c>
      <c r="B1368" s="27" t="s">
        <v>3170</v>
      </c>
      <c r="C1368" s="26" t="s">
        <v>1557</v>
      </c>
      <c r="D1368" s="26">
        <v>-20</v>
      </c>
      <c r="E1368" s="26">
        <v>0</v>
      </c>
      <c r="F1368" s="26">
        <v>37.4</v>
      </c>
      <c r="G1368" s="26">
        <v>37.39</v>
      </c>
      <c r="I1368" s="26" t="str">
        <f t="shared" si="43"/>
        <v>Y</v>
      </c>
    </row>
    <row r="1369" spans="1:9" x14ac:dyDescent="0.15">
      <c r="A1369" s="26">
        <f t="shared" si="42"/>
        <v>6414</v>
      </c>
      <c r="B1369" s="27" t="s">
        <v>3171</v>
      </c>
      <c r="C1369" s="26" t="s">
        <v>1558</v>
      </c>
      <c r="D1369" s="26">
        <v>-17</v>
      </c>
      <c r="E1369" s="26">
        <v>0</v>
      </c>
      <c r="F1369" s="26">
        <v>362</v>
      </c>
      <c r="G1369" s="26">
        <v>372.08</v>
      </c>
      <c r="I1369" s="26" t="str">
        <f t="shared" si="43"/>
        <v>-</v>
      </c>
    </row>
    <row r="1370" spans="1:9" x14ac:dyDescent="0.15">
      <c r="A1370" s="26">
        <f t="shared" si="42"/>
        <v>6415</v>
      </c>
      <c r="B1370" s="27" t="s">
        <v>3172</v>
      </c>
      <c r="C1370" s="26" t="s">
        <v>1559</v>
      </c>
      <c r="D1370" s="26">
        <v>0</v>
      </c>
      <c r="E1370" s="26">
        <v>-1</v>
      </c>
      <c r="F1370" s="26">
        <v>422.5</v>
      </c>
      <c r="G1370" s="26">
        <v>437.88</v>
      </c>
      <c r="I1370" s="26" t="str">
        <f t="shared" si="43"/>
        <v>-</v>
      </c>
    </row>
    <row r="1371" spans="1:9" x14ac:dyDescent="0.15">
      <c r="A1371" s="26">
        <f t="shared" si="42"/>
        <v>6417</v>
      </c>
      <c r="B1371" s="27" t="s">
        <v>3173</v>
      </c>
      <c r="C1371" s="26" t="s">
        <v>1560</v>
      </c>
      <c r="D1371" s="26">
        <v>-10</v>
      </c>
      <c r="E1371" s="26">
        <v>0</v>
      </c>
      <c r="F1371" s="26">
        <v>41.3</v>
      </c>
      <c r="G1371" s="26">
        <v>39.94</v>
      </c>
      <c r="I1371" s="26" t="str">
        <f t="shared" si="43"/>
        <v>Y</v>
      </c>
    </row>
    <row r="1372" spans="1:9" x14ac:dyDescent="0.15">
      <c r="A1372" s="26">
        <f t="shared" si="42"/>
        <v>6419</v>
      </c>
      <c r="B1372" s="27" t="s">
        <v>3174</v>
      </c>
      <c r="C1372" s="26" t="s">
        <v>1561</v>
      </c>
      <c r="D1372" s="26">
        <v>0</v>
      </c>
      <c r="E1372" s="26">
        <v>0</v>
      </c>
      <c r="F1372" s="26">
        <v>20.9</v>
      </c>
      <c r="G1372" s="26">
        <v>20.7</v>
      </c>
      <c r="I1372" s="26" t="str">
        <f t="shared" si="43"/>
        <v>Y</v>
      </c>
    </row>
    <row r="1373" spans="1:9" x14ac:dyDescent="0.15">
      <c r="A1373" s="26">
        <f t="shared" si="42"/>
        <v>6422</v>
      </c>
      <c r="B1373" s="27" t="s">
        <v>3175</v>
      </c>
      <c r="C1373" s="26" t="s">
        <v>1562</v>
      </c>
      <c r="D1373" s="26">
        <v>-10</v>
      </c>
      <c r="E1373" s="26">
        <v>-50</v>
      </c>
      <c r="F1373" s="26">
        <v>66.8</v>
      </c>
      <c r="G1373" s="26">
        <v>61.56</v>
      </c>
      <c r="I1373" s="26" t="str">
        <f t="shared" si="43"/>
        <v>Y</v>
      </c>
    </row>
    <row r="1374" spans="1:9" x14ac:dyDescent="0.15">
      <c r="A1374" s="26">
        <f t="shared" si="42"/>
        <v>6426</v>
      </c>
      <c r="B1374" s="27" t="s">
        <v>3176</v>
      </c>
      <c r="C1374" s="26" t="s">
        <v>1563</v>
      </c>
      <c r="D1374" s="26">
        <v>0</v>
      </c>
      <c r="E1374" s="26">
        <v>0</v>
      </c>
      <c r="F1374" s="26">
        <v>37.1</v>
      </c>
      <c r="G1374" s="26">
        <v>36.270000000000003</v>
      </c>
      <c r="I1374" s="26" t="str">
        <f t="shared" si="43"/>
        <v>Y</v>
      </c>
    </row>
    <row r="1375" spans="1:9" x14ac:dyDescent="0.15">
      <c r="A1375" s="26">
        <f t="shared" si="42"/>
        <v>6431</v>
      </c>
      <c r="B1375" s="27" t="s">
        <v>3177</v>
      </c>
      <c r="C1375" s="26" t="s">
        <v>1564</v>
      </c>
      <c r="D1375" s="26">
        <v>1</v>
      </c>
      <c r="E1375" s="26">
        <v>0</v>
      </c>
      <c r="F1375" s="26">
        <v>10.1</v>
      </c>
      <c r="G1375" s="26">
        <v>9.35</v>
      </c>
      <c r="I1375" s="26" t="str">
        <f t="shared" si="43"/>
        <v>Y</v>
      </c>
    </row>
    <row r="1376" spans="1:9" x14ac:dyDescent="0.15">
      <c r="A1376" s="26">
        <f t="shared" si="42"/>
        <v>6432</v>
      </c>
      <c r="B1376" s="27" t="s">
        <v>3178</v>
      </c>
      <c r="C1376" s="26" t="s">
        <v>3426</v>
      </c>
      <c r="D1376" s="26">
        <v>1</v>
      </c>
      <c r="E1376" s="26">
        <v>0</v>
      </c>
      <c r="F1376" s="26">
        <v>34.75</v>
      </c>
      <c r="G1376" s="26">
        <v>33.19</v>
      </c>
      <c r="I1376" s="26" t="str">
        <f t="shared" si="43"/>
        <v>Y</v>
      </c>
    </row>
    <row r="1377" spans="1:9" x14ac:dyDescent="0.15">
      <c r="A1377" s="26">
        <f t="shared" si="42"/>
        <v>6435</v>
      </c>
      <c r="B1377" s="27" t="s">
        <v>3179</v>
      </c>
      <c r="C1377" s="26" t="s">
        <v>1565</v>
      </c>
      <c r="D1377" s="26">
        <v>60</v>
      </c>
      <c r="E1377" s="26">
        <v>0</v>
      </c>
      <c r="F1377" s="26">
        <v>39</v>
      </c>
      <c r="G1377" s="26">
        <v>33.549999999999997</v>
      </c>
      <c r="I1377" s="26" t="str">
        <f t="shared" si="43"/>
        <v>Y</v>
      </c>
    </row>
    <row r="1378" spans="1:9" x14ac:dyDescent="0.15">
      <c r="A1378" s="26">
        <f t="shared" si="42"/>
        <v>6442</v>
      </c>
      <c r="B1378" s="27" t="s">
        <v>3180</v>
      </c>
      <c r="C1378" s="26" t="s">
        <v>1566</v>
      </c>
      <c r="D1378" s="26">
        <v>15</v>
      </c>
      <c r="E1378" s="26">
        <v>0</v>
      </c>
      <c r="F1378" s="26">
        <v>60.1</v>
      </c>
      <c r="G1378" s="26">
        <v>54.31</v>
      </c>
      <c r="I1378" s="26" t="str">
        <f t="shared" si="43"/>
        <v>Y</v>
      </c>
    </row>
    <row r="1379" spans="1:9" x14ac:dyDescent="0.15">
      <c r="A1379" s="26">
        <f t="shared" si="42"/>
        <v>6443</v>
      </c>
      <c r="B1379" s="27" t="s">
        <v>3181</v>
      </c>
      <c r="C1379" s="26" t="s">
        <v>1567</v>
      </c>
      <c r="D1379" s="26">
        <v>3</v>
      </c>
      <c r="E1379" s="26">
        <v>0</v>
      </c>
      <c r="F1379" s="26">
        <v>16.850000000000001</v>
      </c>
      <c r="G1379" s="26">
        <v>17.11</v>
      </c>
      <c r="I1379" s="26" t="str">
        <f t="shared" si="43"/>
        <v>-</v>
      </c>
    </row>
    <row r="1380" spans="1:9" x14ac:dyDescent="0.15">
      <c r="A1380" s="26">
        <f t="shared" si="42"/>
        <v>6449</v>
      </c>
      <c r="B1380" s="27" t="s">
        <v>3182</v>
      </c>
      <c r="C1380" s="26" t="s">
        <v>1568</v>
      </c>
      <c r="D1380" s="26">
        <v>-14</v>
      </c>
      <c r="E1380" s="26">
        <v>0</v>
      </c>
      <c r="F1380" s="26">
        <v>29.85</v>
      </c>
      <c r="G1380" s="26">
        <v>30.09</v>
      </c>
      <c r="I1380" s="26" t="str">
        <f t="shared" si="43"/>
        <v>-</v>
      </c>
    </row>
    <row r="1381" spans="1:9" x14ac:dyDescent="0.15">
      <c r="A1381" s="26">
        <f t="shared" si="42"/>
        <v>6451</v>
      </c>
      <c r="B1381" s="27" t="s">
        <v>3183</v>
      </c>
      <c r="C1381" s="26" t="s">
        <v>1569</v>
      </c>
      <c r="D1381" s="26">
        <v>-53</v>
      </c>
      <c r="E1381" s="26">
        <v>0</v>
      </c>
      <c r="F1381" s="26">
        <v>107</v>
      </c>
      <c r="G1381" s="26">
        <v>103.28</v>
      </c>
      <c r="I1381" s="26" t="str">
        <f t="shared" si="43"/>
        <v>Y</v>
      </c>
    </row>
    <row r="1382" spans="1:9" x14ac:dyDescent="0.15">
      <c r="A1382" s="26">
        <f t="shared" si="42"/>
        <v>6452</v>
      </c>
      <c r="B1382" s="27" t="s">
        <v>3184</v>
      </c>
      <c r="C1382" s="26" t="s">
        <v>1570</v>
      </c>
      <c r="D1382" s="26">
        <v>2</v>
      </c>
      <c r="E1382" s="26">
        <v>0</v>
      </c>
      <c r="F1382" s="26">
        <v>352</v>
      </c>
      <c r="G1382" s="26">
        <v>372.83</v>
      </c>
      <c r="I1382" s="26" t="str">
        <f t="shared" si="43"/>
        <v>-</v>
      </c>
    </row>
    <row r="1383" spans="1:9" x14ac:dyDescent="0.15">
      <c r="A1383" s="26">
        <f t="shared" si="42"/>
        <v>6456</v>
      </c>
      <c r="B1383" s="27" t="s">
        <v>3185</v>
      </c>
      <c r="C1383" s="26" t="s">
        <v>1571</v>
      </c>
      <c r="D1383" s="26">
        <v>-309</v>
      </c>
      <c r="E1383" s="26">
        <v>-244</v>
      </c>
      <c r="F1383" s="26">
        <v>116</v>
      </c>
      <c r="G1383" s="26">
        <v>108.98</v>
      </c>
      <c r="I1383" s="26" t="str">
        <f t="shared" si="43"/>
        <v>Y</v>
      </c>
    </row>
    <row r="1384" spans="1:9" x14ac:dyDescent="0.15">
      <c r="A1384" s="26">
        <f t="shared" si="42"/>
        <v>6457</v>
      </c>
      <c r="B1384" s="27" t="s">
        <v>3186</v>
      </c>
      <c r="C1384" s="26" t="s">
        <v>1572</v>
      </c>
      <c r="D1384" s="26">
        <v>-19</v>
      </c>
      <c r="E1384" s="26">
        <v>0</v>
      </c>
      <c r="F1384" s="26">
        <v>43.8</v>
      </c>
      <c r="G1384" s="26">
        <v>39.75</v>
      </c>
      <c r="I1384" s="26" t="str">
        <f t="shared" si="43"/>
        <v>Y</v>
      </c>
    </row>
    <row r="1385" spans="1:9" x14ac:dyDescent="0.15">
      <c r="A1385" s="26">
        <f t="shared" si="42"/>
        <v>6462</v>
      </c>
      <c r="B1385" s="27" t="s">
        <v>3187</v>
      </c>
      <c r="C1385" s="26" t="s">
        <v>1573</v>
      </c>
      <c r="D1385" s="26">
        <v>-19</v>
      </c>
      <c r="E1385" s="26">
        <v>0</v>
      </c>
      <c r="F1385" s="26">
        <v>152</v>
      </c>
      <c r="G1385" s="26">
        <v>157.91999999999999</v>
      </c>
      <c r="I1385" s="26" t="str">
        <f t="shared" si="43"/>
        <v>-</v>
      </c>
    </row>
    <row r="1386" spans="1:9" x14ac:dyDescent="0.15">
      <c r="A1386" s="26">
        <f t="shared" si="42"/>
        <v>6464</v>
      </c>
      <c r="B1386" s="27" t="s">
        <v>3188</v>
      </c>
      <c r="C1386" s="26" t="s">
        <v>1574</v>
      </c>
      <c r="D1386" s="26">
        <v>-6</v>
      </c>
      <c r="E1386" s="26">
        <v>0</v>
      </c>
      <c r="F1386" s="26">
        <v>131</v>
      </c>
      <c r="G1386" s="26">
        <v>130.13</v>
      </c>
      <c r="I1386" s="26" t="str">
        <f t="shared" si="43"/>
        <v>Y</v>
      </c>
    </row>
    <row r="1387" spans="1:9" x14ac:dyDescent="0.15">
      <c r="A1387" s="26">
        <f t="shared" si="42"/>
        <v>6465</v>
      </c>
      <c r="B1387" s="27" t="s">
        <v>3189</v>
      </c>
      <c r="C1387" s="26" t="s">
        <v>1575</v>
      </c>
      <c r="D1387" s="26">
        <v>0</v>
      </c>
      <c r="E1387" s="26">
        <v>0</v>
      </c>
      <c r="F1387" s="26">
        <v>79.900000000000006</v>
      </c>
      <c r="G1387" s="26">
        <v>81.66</v>
      </c>
      <c r="I1387" s="26" t="str">
        <f t="shared" si="43"/>
        <v>-</v>
      </c>
    </row>
    <row r="1388" spans="1:9" x14ac:dyDescent="0.15">
      <c r="A1388" s="26">
        <f t="shared" si="42"/>
        <v>6470</v>
      </c>
      <c r="B1388" s="27" t="s">
        <v>3190</v>
      </c>
      <c r="C1388" s="26" t="s">
        <v>1576</v>
      </c>
      <c r="D1388" s="26">
        <v>-4</v>
      </c>
      <c r="E1388" s="26">
        <v>0</v>
      </c>
      <c r="F1388" s="26">
        <v>55.1</v>
      </c>
      <c r="G1388" s="26">
        <v>53.4</v>
      </c>
      <c r="I1388" s="26" t="str">
        <f t="shared" si="43"/>
        <v>Y</v>
      </c>
    </row>
    <row r="1389" spans="1:9" x14ac:dyDescent="0.15">
      <c r="A1389" s="26">
        <f t="shared" si="42"/>
        <v>6485</v>
      </c>
      <c r="B1389" s="27" t="s">
        <v>3191</v>
      </c>
      <c r="C1389" s="26" t="s">
        <v>1577</v>
      </c>
      <c r="D1389" s="26">
        <v>-4</v>
      </c>
      <c r="E1389" s="26">
        <v>0</v>
      </c>
      <c r="F1389" s="26">
        <v>62.6</v>
      </c>
      <c r="G1389" s="26">
        <v>57.65</v>
      </c>
      <c r="I1389" s="26" t="str">
        <f t="shared" si="43"/>
        <v>Y</v>
      </c>
    </row>
    <row r="1390" spans="1:9" x14ac:dyDescent="0.15">
      <c r="A1390" s="26">
        <f t="shared" si="42"/>
        <v>6488</v>
      </c>
      <c r="B1390" s="27" t="s">
        <v>3192</v>
      </c>
      <c r="C1390" s="26" t="s">
        <v>1578</v>
      </c>
      <c r="D1390" s="26">
        <v>166</v>
      </c>
      <c r="E1390" s="26">
        <v>259</v>
      </c>
      <c r="F1390" s="26">
        <v>80.400000000000006</v>
      </c>
      <c r="G1390" s="26">
        <v>79.56</v>
      </c>
      <c r="I1390" s="26" t="str">
        <f t="shared" si="43"/>
        <v>Y</v>
      </c>
    </row>
    <row r="1391" spans="1:9" x14ac:dyDescent="0.15">
      <c r="A1391" s="26">
        <f t="shared" si="42"/>
        <v>6496</v>
      </c>
      <c r="B1391" s="27" t="s">
        <v>3193</v>
      </c>
      <c r="C1391" s="26" t="s">
        <v>1579</v>
      </c>
      <c r="D1391" s="26">
        <v>-7</v>
      </c>
      <c r="E1391" s="26">
        <v>0</v>
      </c>
      <c r="F1391" s="26">
        <v>80.3</v>
      </c>
      <c r="G1391" s="26">
        <v>83.38</v>
      </c>
      <c r="I1391" s="26" t="str">
        <f t="shared" si="43"/>
        <v>-</v>
      </c>
    </row>
    <row r="1392" spans="1:9" x14ac:dyDescent="0.15">
      <c r="A1392" s="26">
        <f t="shared" si="42"/>
        <v>6504</v>
      </c>
      <c r="B1392" s="27" t="s">
        <v>3194</v>
      </c>
      <c r="C1392" s="26" t="s">
        <v>1580</v>
      </c>
      <c r="D1392" s="26">
        <v>13</v>
      </c>
      <c r="E1392" s="26">
        <v>-30</v>
      </c>
      <c r="F1392" s="26">
        <v>145</v>
      </c>
      <c r="G1392" s="26">
        <v>146.71</v>
      </c>
      <c r="I1392" s="26" t="str">
        <f t="shared" si="43"/>
        <v>-</v>
      </c>
    </row>
    <row r="1393" spans="1:9" x14ac:dyDescent="0.15">
      <c r="A1393" s="26">
        <f t="shared" si="42"/>
        <v>6505</v>
      </c>
      <c r="B1393" s="27" t="s">
        <v>3195</v>
      </c>
      <c r="C1393" s="26" t="s">
        <v>1581</v>
      </c>
      <c r="D1393" s="26">
        <v>404</v>
      </c>
      <c r="E1393" s="26">
        <v>1067</v>
      </c>
      <c r="F1393" s="26">
        <v>89.2</v>
      </c>
      <c r="G1393" s="26">
        <v>84.78</v>
      </c>
      <c r="I1393" s="26" t="str">
        <f t="shared" si="43"/>
        <v>Y</v>
      </c>
    </row>
    <row r="1394" spans="1:9" x14ac:dyDescent="0.15">
      <c r="A1394" s="26">
        <f t="shared" si="42"/>
        <v>6506</v>
      </c>
      <c r="B1394" s="27" t="s">
        <v>3196</v>
      </c>
      <c r="C1394" s="26" t="s">
        <v>1582</v>
      </c>
      <c r="D1394" s="26">
        <v>-1</v>
      </c>
      <c r="E1394" s="26">
        <v>0</v>
      </c>
      <c r="F1394" s="26">
        <v>20.399999999999999</v>
      </c>
      <c r="G1394" s="26">
        <v>20.23</v>
      </c>
      <c r="I1394" s="26" t="str">
        <f t="shared" si="43"/>
        <v>Y</v>
      </c>
    </row>
    <row r="1395" spans="1:9" x14ac:dyDescent="0.15">
      <c r="A1395" s="26">
        <f t="shared" si="42"/>
        <v>6508</v>
      </c>
      <c r="B1395" s="27" t="s">
        <v>3197</v>
      </c>
      <c r="C1395" s="26" t="s">
        <v>1583</v>
      </c>
      <c r="D1395" s="26">
        <v>-14</v>
      </c>
      <c r="E1395" s="26">
        <v>0</v>
      </c>
      <c r="F1395" s="26">
        <v>27</v>
      </c>
      <c r="G1395" s="26">
        <v>26.2</v>
      </c>
      <c r="I1395" s="26" t="str">
        <f t="shared" si="43"/>
        <v>Y</v>
      </c>
    </row>
    <row r="1396" spans="1:9" x14ac:dyDescent="0.15">
      <c r="A1396" s="26">
        <f t="shared" si="42"/>
        <v>6509</v>
      </c>
      <c r="B1396" s="27" t="s">
        <v>3198</v>
      </c>
      <c r="C1396" s="26" t="s">
        <v>1584</v>
      </c>
      <c r="D1396" s="26">
        <v>47</v>
      </c>
      <c r="E1396" s="26">
        <v>0</v>
      </c>
      <c r="F1396" s="26">
        <v>20.2</v>
      </c>
      <c r="G1396" s="26">
        <v>19.55</v>
      </c>
      <c r="I1396" s="26" t="str">
        <f t="shared" si="43"/>
        <v>Y</v>
      </c>
    </row>
    <row r="1397" spans="1:9" x14ac:dyDescent="0.15">
      <c r="A1397" s="26">
        <f t="shared" si="42"/>
        <v>6514</v>
      </c>
      <c r="B1397" s="27" t="s">
        <v>3199</v>
      </c>
      <c r="C1397" s="26" t="s">
        <v>1585</v>
      </c>
      <c r="D1397" s="26">
        <v>2</v>
      </c>
      <c r="E1397" s="26">
        <v>0</v>
      </c>
      <c r="F1397" s="26">
        <v>71.099999999999994</v>
      </c>
      <c r="G1397" s="26">
        <v>71.62</v>
      </c>
      <c r="I1397" s="26" t="str">
        <f t="shared" si="43"/>
        <v>-</v>
      </c>
    </row>
    <row r="1398" spans="1:9" x14ac:dyDescent="0.15">
      <c r="A1398" s="26">
        <f t="shared" si="42"/>
        <v>6603</v>
      </c>
      <c r="B1398" s="27" t="s">
        <v>3200</v>
      </c>
      <c r="C1398" s="26" t="s">
        <v>1586</v>
      </c>
      <c r="D1398" s="26">
        <v>0</v>
      </c>
      <c r="E1398" s="26">
        <v>0</v>
      </c>
      <c r="F1398" s="26">
        <v>10.7</v>
      </c>
      <c r="G1398" s="26">
        <v>10.25</v>
      </c>
      <c r="I1398" s="26" t="str">
        <f t="shared" si="43"/>
        <v>Y</v>
      </c>
    </row>
    <row r="1399" spans="1:9" x14ac:dyDescent="0.15">
      <c r="A1399" s="26">
        <f t="shared" si="42"/>
        <v>6605</v>
      </c>
      <c r="B1399" s="27" t="s">
        <v>3201</v>
      </c>
      <c r="C1399" s="26" t="s">
        <v>1587</v>
      </c>
      <c r="D1399" s="26">
        <v>-3</v>
      </c>
      <c r="E1399" s="26">
        <v>-30</v>
      </c>
      <c r="F1399" s="26">
        <v>114.5</v>
      </c>
      <c r="G1399" s="26">
        <v>117.71</v>
      </c>
      <c r="I1399" s="26" t="str">
        <f t="shared" si="43"/>
        <v>-</v>
      </c>
    </row>
    <row r="1400" spans="1:9" x14ac:dyDescent="0.15">
      <c r="A1400" s="26">
        <f t="shared" si="42"/>
        <v>6609</v>
      </c>
      <c r="B1400" s="27" t="s">
        <v>3202</v>
      </c>
      <c r="C1400" s="26" t="s">
        <v>1588</v>
      </c>
      <c r="D1400" s="26">
        <v>-8</v>
      </c>
      <c r="E1400" s="26">
        <v>0</v>
      </c>
      <c r="F1400" s="26">
        <v>28</v>
      </c>
      <c r="G1400" s="26">
        <v>27.58</v>
      </c>
      <c r="I1400" s="26" t="str">
        <f t="shared" si="43"/>
        <v>Y</v>
      </c>
    </row>
    <row r="1401" spans="1:9" x14ac:dyDescent="0.15">
      <c r="A1401" s="26">
        <f t="shared" si="42"/>
        <v>6702</v>
      </c>
      <c r="B1401" s="27" t="s">
        <v>3203</v>
      </c>
      <c r="C1401" s="26" t="s">
        <v>1589</v>
      </c>
      <c r="D1401" s="26">
        <v>85</v>
      </c>
      <c r="E1401" s="26">
        <v>0</v>
      </c>
      <c r="F1401" s="26">
        <v>7.48</v>
      </c>
      <c r="G1401" s="26">
        <v>7.48</v>
      </c>
      <c r="I1401" s="26" t="str">
        <f t="shared" si="43"/>
        <v>-</v>
      </c>
    </row>
    <row r="1402" spans="1:9" x14ac:dyDescent="0.15">
      <c r="A1402" s="26">
        <f t="shared" si="42"/>
        <v>6803</v>
      </c>
      <c r="B1402" s="27" t="s">
        <v>3204</v>
      </c>
      <c r="C1402" s="26" t="s">
        <v>1590</v>
      </c>
      <c r="D1402" s="26">
        <v>-7</v>
      </c>
      <c r="E1402" s="26">
        <v>0</v>
      </c>
      <c r="F1402" s="26">
        <v>163.5</v>
      </c>
      <c r="G1402" s="26">
        <v>163.54</v>
      </c>
      <c r="I1402" s="26" t="str">
        <f t="shared" si="43"/>
        <v>-</v>
      </c>
    </row>
    <row r="1403" spans="1:9" x14ac:dyDescent="0.15">
      <c r="A1403" s="26">
        <f t="shared" si="42"/>
        <v>7402</v>
      </c>
      <c r="B1403" s="27" t="s">
        <v>3205</v>
      </c>
      <c r="C1403" s="26" t="s">
        <v>1591</v>
      </c>
      <c r="D1403" s="26">
        <v>0</v>
      </c>
      <c r="E1403" s="26">
        <v>0</v>
      </c>
      <c r="F1403" s="26">
        <v>81.900000000000006</v>
      </c>
      <c r="G1403" s="26">
        <v>79.44</v>
      </c>
      <c r="I1403" s="26" t="str">
        <f t="shared" si="43"/>
        <v>Y</v>
      </c>
    </row>
    <row r="1404" spans="1:9" x14ac:dyDescent="0.15">
      <c r="A1404" s="26">
        <f t="shared" si="42"/>
        <v>8011</v>
      </c>
      <c r="B1404" s="27" t="s">
        <v>3206</v>
      </c>
      <c r="C1404" s="26" t="s">
        <v>1592</v>
      </c>
      <c r="D1404" s="26">
        <v>-3</v>
      </c>
      <c r="E1404" s="26">
        <v>0</v>
      </c>
      <c r="F1404" s="26">
        <v>20.6</v>
      </c>
      <c r="G1404" s="26">
        <v>20.16</v>
      </c>
      <c r="I1404" s="26" t="str">
        <f t="shared" si="43"/>
        <v>Y</v>
      </c>
    </row>
    <row r="1405" spans="1:9" x14ac:dyDescent="0.15">
      <c r="A1405" s="26">
        <f t="shared" si="42"/>
        <v>8016</v>
      </c>
      <c r="B1405" s="27" t="s">
        <v>3207</v>
      </c>
      <c r="C1405" s="26" t="s">
        <v>1593</v>
      </c>
      <c r="D1405" s="26">
        <v>-190</v>
      </c>
      <c r="E1405" s="26">
        <v>150</v>
      </c>
      <c r="F1405" s="26">
        <v>91.8</v>
      </c>
      <c r="G1405" s="26">
        <v>93.93</v>
      </c>
      <c r="I1405" s="26" t="str">
        <f t="shared" si="43"/>
        <v>-</v>
      </c>
    </row>
    <row r="1406" spans="1:9" x14ac:dyDescent="0.15">
      <c r="A1406" s="26">
        <f t="shared" si="42"/>
        <v>8021</v>
      </c>
      <c r="B1406" s="27" t="s">
        <v>3208</v>
      </c>
      <c r="C1406" s="26" t="s">
        <v>1594</v>
      </c>
      <c r="D1406" s="26">
        <v>-3</v>
      </c>
      <c r="E1406" s="26">
        <v>0</v>
      </c>
      <c r="F1406" s="26">
        <v>23.3</v>
      </c>
      <c r="G1406" s="26">
        <v>22.78</v>
      </c>
      <c r="I1406" s="26" t="str">
        <f t="shared" si="43"/>
        <v>Y</v>
      </c>
    </row>
    <row r="1407" spans="1:9" x14ac:dyDescent="0.15">
      <c r="A1407" s="26">
        <f t="shared" si="42"/>
        <v>8024</v>
      </c>
      <c r="B1407" s="27" t="s">
        <v>3209</v>
      </c>
      <c r="C1407" s="26" t="s">
        <v>1595</v>
      </c>
      <c r="D1407" s="26">
        <v>0</v>
      </c>
      <c r="E1407" s="26">
        <v>0</v>
      </c>
      <c r="F1407" s="26">
        <v>10.6</v>
      </c>
      <c r="G1407" s="26">
        <v>10.47</v>
      </c>
      <c r="I1407" s="26" t="str">
        <f t="shared" si="43"/>
        <v>Y</v>
      </c>
    </row>
    <row r="1408" spans="1:9" x14ac:dyDescent="0.15">
      <c r="A1408" s="26">
        <f t="shared" si="42"/>
        <v>8027</v>
      </c>
      <c r="B1408" s="27" t="s">
        <v>3210</v>
      </c>
      <c r="C1408" s="26" t="s">
        <v>1596</v>
      </c>
      <c r="D1408" s="26">
        <v>-1</v>
      </c>
      <c r="E1408" s="26">
        <v>0</v>
      </c>
      <c r="F1408" s="26">
        <v>18.899999999999999</v>
      </c>
      <c r="G1408" s="26">
        <v>18.93</v>
      </c>
      <c r="I1408" s="26" t="str">
        <f t="shared" si="43"/>
        <v>-</v>
      </c>
    </row>
    <row r="1409" spans="1:9" x14ac:dyDescent="0.15">
      <c r="A1409" s="26">
        <f t="shared" si="42"/>
        <v>8032</v>
      </c>
      <c r="B1409" s="27" t="s">
        <v>3211</v>
      </c>
      <c r="C1409" s="26" t="s">
        <v>1597</v>
      </c>
      <c r="D1409" s="26">
        <v>0</v>
      </c>
      <c r="E1409" s="26">
        <v>0</v>
      </c>
      <c r="F1409" s="26">
        <v>28.75</v>
      </c>
      <c r="G1409" s="26">
        <v>27.68</v>
      </c>
      <c r="I1409" s="26" t="str">
        <f t="shared" si="43"/>
        <v>Y</v>
      </c>
    </row>
    <row r="1410" spans="1:9" x14ac:dyDescent="0.15">
      <c r="A1410" s="26">
        <f t="shared" si="42"/>
        <v>8033</v>
      </c>
      <c r="B1410" s="27" t="s">
        <v>3212</v>
      </c>
      <c r="C1410" s="26" t="s">
        <v>1598</v>
      </c>
      <c r="D1410" s="26">
        <v>2</v>
      </c>
      <c r="E1410" s="26">
        <v>0</v>
      </c>
      <c r="F1410" s="26">
        <v>9.1</v>
      </c>
      <c r="G1410" s="26">
        <v>9.07</v>
      </c>
      <c r="I1410" s="26" t="str">
        <f t="shared" si="43"/>
        <v>Y</v>
      </c>
    </row>
    <row r="1411" spans="1:9" x14ac:dyDescent="0.15">
      <c r="A1411" s="26">
        <f t="shared" si="42"/>
        <v>8034</v>
      </c>
      <c r="B1411" s="27" t="s">
        <v>3213</v>
      </c>
      <c r="C1411" s="26" t="s">
        <v>1599</v>
      </c>
      <c r="D1411" s="26">
        <v>0</v>
      </c>
      <c r="E1411" s="26">
        <v>0</v>
      </c>
      <c r="F1411" s="26">
        <v>6</v>
      </c>
      <c r="G1411" s="26">
        <v>5.93</v>
      </c>
      <c r="I1411" s="26" t="str">
        <f t="shared" si="43"/>
        <v>Y</v>
      </c>
    </row>
    <row r="1412" spans="1:9" x14ac:dyDescent="0.15">
      <c r="A1412" s="26">
        <f t="shared" si="42"/>
        <v>8038</v>
      </c>
      <c r="B1412" s="27" t="s">
        <v>3214</v>
      </c>
      <c r="C1412" s="26" t="s">
        <v>1600</v>
      </c>
      <c r="D1412" s="26">
        <v>-23</v>
      </c>
      <c r="E1412" s="26">
        <v>0</v>
      </c>
      <c r="F1412" s="26">
        <v>61.3</v>
      </c>
      <c r="G1412" s="26">
        <v>55.5</v>
      </c>
      <c r="I1412" s="26" t="str">
        <f t="shared" si="43"/>
        <v>Y</v>
      </c>
    </row>
    <row r="1413" spans="1:9" x14ac:dyDescent="0.15">
      <c r="A1413" s="26">
        <f t="shared" si="42"/>
        <v>8039</v>
      </c>
      <c r="B1413" s="27" t="s">
        <v>3215</v>
      </c>
      <c r="C1413" s="26" t="s">
        <v>1601</v>
      </c>
      <c r="D1413" s="26">
        <v>-62</v>
      </c>
      <c r="E1413" s="26">
        <v>0</v>
      </c>
      <c r="F1413" s="26">
        <v>38</v>
      </c>
      <c r="G1413" s="26">
        <v>38.43</v>
      </c>
      <c r="I1413" s="26" t="str">
        <f t="shared" si="43"/>
        <v>-</v>
      </c>
    </row>
    <row r="1414" spans="1:9" x14ac:dyDescent="0.15">
      <c r="A1414" s="26">
        <f t="shared" si="42"/>
        <v>8040</v>
      </c>
      <c r="B1414" s="27" t="s">
        <v>3216</v>
      </c>
      <c r="C1414" s="26" t="s">
        <v>1602</v>
      </c>
      <c r="D1414" s="26">
        <v>-18</v>
      </c>
      <c r="E1414" s="26">
        <v>0</v>
      </c>
      <c r="F1414" s="26">
        <v>9.18</v>
      </c>
      <c r="G1414" s="26">
        <v>8.44</v>
      </c>
      <c r="I1414" s="26" t="str">
        <f t="shared" si="43"/>
        <v>Y</v>
      </c>
    </row>
    <row r="1415" spans="1:9" x14ac:dyDescent="0.15">
      <c r="A1415" s="26">
        <f t="shared" ref="A1415:A1478" si="44">VALUE(B1415)</f>
        <v>8042</v>
      </c>
      <c r="B1415" s="27" t="s">
        <v>3217</v>
      </c>
      <c r="C1415" s="26" t="s">
        <v>1603</v>
      </c>
      <c r="D1415" s="26">
        <v>-6</v>
      </c>
      <c r="E1415" s="26">
        <v>0</v>
      </c>
      <c r="F1415" s="26">
        <v>42.1</v>
      </c>
      <c r="G1415" s="26">
        <v>41.22</v>
      </c>
      <c r="I1415" s="26" t="str">
        <f t="shared" ref="I1415:I1478" si="45">IF(F1415&gt;G1415,"Y","-")</f>
        <v>Y</v>
      </c>
    </row>
    <row r="1416" spans="1:9" x14ac:dyDescent="0.15">
      <c r="A1416" s="26">
        <f t="shared" si="44"/>
        <v>8043</v>
      </c>
      <c r="B1416" s="27" t="s">
        <v>3218</v>
      </c>
      <c r="C1416" s="26" t="s">
        <v>1604</v>
      </c>
      <c r="D1416" s="26">
        <v>0</v>
      </c>
      <c r="E1416" s="26">
        <v>0</v>
      </c>
      <c r="F1416" s="26">
        <v>15.45</v>
      </c>
      <c r="G1416" s="26">
        <v>15.12</v>
      </c>
      <c r="I1416" s="26" t="str">
        <f t="shared" si="45"/>
        <v>Y</v>
      </c>
    </row>
    <row r="1417" spans="1:9" x14ac:dyDescent="0.15">
      <c r="A1417" s="26">
        <f t="shared" si="44"/>
        <v>8044</v>
      </c>
      <c r="B1417" s="27" t="s">
        <v>3219</v>
      </c>
      <c r="C1417" s="26" t="s">
        <v>1605</v>
      </c>
      <c r="D1417" s="26">
        <v>45</v>
      </c>
      <c r="E1417" s="26">
        <v>0</v>
      </c>
      <c r="F1417" s="26">
        <v>352.5</v>
      </c>
      <c r="G1417" s="26">
        <v>350.08</v>
      </c>
      <c r="I1417" s="26" t="str">
        <f t="shared" si="45"/>
        <v>Y</v>
      </c>
    </row>
    <row r="1418" spans="1:9" x14ac:dyDescent="0.15">
      <c r="A1418" s="26">
        <f t="shared" si="44"/>
        <v>8046</v>
      </c>
      <c r="B1418" s="27" t="s">
        <v>3220</v>
      </c>
      <c r="C1418" s="26" t="s">
        <v>1606</v>
      </c>
      <c r="D1418" s="26">
        <v>373</v>
      </c>
      <c r="E1418" s="26">
        <v>0</v>
      </c>
      <c r="F1418" s="26">
        <v>35.25</v>
      </c>
      <c r="G1418" s="26">
        <v>34.090000000000003</v>
      </c>
      <c r="I1418" s="26" t="str">
        <f t="shared" si="45"/>
        <v>Y</v>
      </c>
    </row>
    <row r="1419" spans="1:9" x14ac:dyDescent="0.15">
      <c r="A1419" s="26">
        <f t="shared" si="44"/>
        <v>8047</v>
      </c>
      <c r="B1419" s="27" t="s">
        <v>3221</v>
      </c>
      <c r="C1419" s="26" t="s">
        <v>1607</v>
      </c>
      <c r="D1419" s="26">
        <v>0</v>
      </c>
      <c r="E1419" s="26">
        <v>0</v>
      </c>
      <c r="F1419" s="26">
        <v>10.9</v>
      </c>
      <c r="G1419" s="26">
        <v>10.66</v>
      </c>
      <c r="I1419" s="26" t="str">
        <f t="shared" si="45"/>
        <v>Y</v>
      </c>
    </row>
    <row r="1420" spans="1:9" x14ac:dyDescent="0.15">
      <c r="A1420" s="26">
        <f t="shared" si="44"/>
        <v>8048</v>
      </c>
      <c r="B1420" s="27" t="s">
        <v>3222</v>
      </c>
      <c r="C1420" s="26" t="s">
        <v>1608</v>
      </c>
      <c r="D1420" s="26">
        <v>17</v>
      </c>
      <c r="E1420" s="26">
        <v>0</v>
      </c>
      <c r="F1420" s="26">
        <v>45.75</v>
      </c>
      <c r="G1420" s="26">
        <v>46.45</v>
      </c>
      <c r="I1420" s="26" t="str">
        <f t="shared" si="45"/>
        <v>-</v>
      </c>
    </row>
    <row r="1421" spans="1:9" x14ac:dyDescent="0.15">
      <c r="A1421" s="26">
        <f t="shared" si="44"/>
        <v>8049</v>
      </c>
      <c r="B1421" s="27" t="s">
        <v>3223</v>
      </c>
      <c r="C1421" s="26" t="s">
        <v>1609</v>
      </c>
      <c r="D1421" s="26">
        <v>941</v>
      </c>
      <c r="E1421" s="26">
        <v>180</v>
      </c>
      <c r="F1421" s="26">
        <v>15</v>
      </c>
      <c r="G1421" s="26">
        <v>13.86</v>
      </c>
      <c r="I1421" s="26" t="str">
        <f t="shared" si="45"/>
        <v>Y</v>
      </c>
    </row>
    <row r="1422" spans="1:9" x14ac:dyDescent="0.15">
      <c r="A1422" s="26">
        <f t="shared" si="44"/>
        <v>8050</v>
      </c>
      <c r="B1422" s="27" t="s">
        <v>3224</v>
      </c>
      <c r="C1422" s="26" t="s">
        <v>1610</v>
      </c>
      <c r="D1422" s="26">
        <v>-35</v>
      </c>
      <c r="E1422" s="26">
        <v>60</v>
      </c>
      <c r="F1422" s="26">
        <v>54.2</v>
      </c>
      <c r="G1422" s="26">
        <v>53.83</v>
      </c>
      <c r="I1422" s="26" t="str">
        <f t="shared" si="45"/>
        <v>Y</v>
      </c>
    </row>
    <row r="1423" spans="1:9" x14ac:dyDescent="0.15">
      <c r="A1423" s="26">
        <f t="shared" si="44"/>
        <v>8053</v>
      </c>
      <c r="B1423" s="27" t="s">
        <v>3225</v>
      </c>
      <c r="C1423" s="26" t="s">
        <v>1611</v>
      </c>
      <c r="D1423" s="26">
        <v>0</v>
      </c>
      <c r="E1423" s="26">
        <v>0</v>
      </c>
      <c r="F1423" s="26">
        <v>1.19</v>
      </c>
      <c r="G1423" s="26">
        <v>1.1599999999999999</v>
      </c>
      <c r="I1423" s="26" t="str">
        <f t="shared" si="45"/>
        <v>Y</v>
      </c>
    </row>
    <row r="1424" spans="1:9" x14ac:dyDescent="0.15">
      <c r="A1424" s="26">
        <f t="shared" si="44"/>
        <v>8054</v>
      </c>
      <c r="B1424" s="27" t="s">
        <v>3226</v>
      </c>
      <c r="C1424" s="26" t="s">
        <v>1612</v>
      </c>
      <c r="D1424" s="26">
        <v>-37</v>
      </c>
      <c r="E1424" s="26">
        <v>0</v>
      </c>
      <c r="F1424" s="26">
        <v>19.8</v>
      </c>
      <c r="G1424" s="26">
        <v>19.75</v>
      </c>
      <c r="I1424" s="26" t="str">
        <f t="shared" si="45"/>
        <v>Y</v>
      </c>
    </row>
    <row r="1425" spans="1:9" x14ac:dyDescent="0.15">
      <c r="A1425" s="26">
        <f t="shared" si="44"/>
        <v>8059</v>
      </c>
      <c r="B1425" s="27" t="s">
        <v>3227</v>
      </c>
      <c r="C1425" s="26" t="s">
        <v>1613</v>
      </c>
      <c r="D1425" s="26">
        <v>48</v>
      </c>
      <c r="E1425" s="26">
        <v>0</v>
      </c>
      <c r="F1425" s="26">
        <v>13.35</v>
      </c>
      <c r="G1425" s="26">
        <v>13.39</v>
      </c>
      <c r="I1425" s="26" t="str">
        <f t="shared" si="45"/>
        <v>-</v>
      </c>
    </row>
    <row r="1426" spans="1:9" x14ac:dyDescent="0.15">
      <c r="A1426" s="26">
        <f t="shared" si="44"/>
        <v>8064</v>
      </c>
      <c r="B1426" s="27" t="s">
        <v>3228</v>
      </c>
      <c r="C1426" s="26" t="s">
        <v>1614</v>
      </c>
      <c r="D1426" s="26">
        <v>-4</v>
      </c>
      <c r="E1426" s="26">
        <v>0</v>
      </c>
      <c r="F1426" s="26">
        <v>14.85</v>
      </c>
      <c r="G1426" s="26">
        <v>12.79</v>
      </c>
      <c r="I1426" s="26" t="str">
        <f t="shared" si="45"/>
        <v>Y</v>
      </c>
    </row>
    <row r="1427" spans="1:9" x14ac:dyDescent="0.15">
      <c r="A1427" s="26">
        <f t="shared" si="44"/>
        <v>8066</v>
      </c>
      <c r="B1427" s="27" t="s">
        <v>3229</v>
      </c>
      <c r="C1427" s="26" t="s">
        <v>1615</v>
      </c>
      <c r="D1427" s="26">
        <v>-2</v>
      </c>
      <c r="E1427" s="26">
        <v>0</v>
      </c>
      <c r="F1427" s="26">
        <v>107</v>
      </c>
      <c r="G1427" s="26">
        <v>101.64</v>
      </c>
      <c r="I1427" s="26" t="str">
        <f t="shared" si="45"/>
        <v>Y</v>
      </c>
    </row>
    <row r="1428" spans="1:9" x14ac:dyDescent="0.15">
      <c r="A1428" s="26">
        <f t="shared" si="44"/>
        <v>8067</v>
      </c>
      <c r="B1428" s="27" t="s">
        <v>3230</v>
      </c>
      <c r="C1428" s="26" t="s">
        <v>1616</v>
      </c>
      <c r="D1428" s="26">
        <v>0</v>
      </c>
      <c r="E1428" s="26">
        <v>0</v>
      </c>
      <c r="F1428" s="26">
        <v>4.88</v>
      </c>
      <c r="G1428" s="26">
        <v>4.5999999999999996</v>
      </c>
      <c r="I1428" s="26" t="str">
        <f t="shared" si="45"/>
        <v>Y</v>
      </c>
    </row>
    <row r="1429" spans="1:9" x14ac:dyDescent="0.15">
      <c r="A1429" s="26">
        <f t="shared" si="44"/>
        <v>8068</v>
      </c>
      <c r="B1429" s="27" t="s">
        <v>3231</v>
      </c>
      <c r="C1429" s="26" t="s">
        <v>1617</v>
      </c>
      <c r="D1429" s="26">
        <v>0</v>
      </c>
      <c r="E1429" s="26">
        <v>0</v>
      </c>
      <c r="F1429" s="26">
        <v>14.2</v>
      </c>
      <c r="G1429" s="26">
        <v>12.83</v>
      </c>
      <c r="I1429" s="26" t="str">
        <f t="shared" si="45"/>
        <v>Y</v>
      </c>
    </row>
    <row r="1430" spans="1:9" x14ac:dyDescent="0.15">
      <c r="A1430" s="26">
        <f t="shared" si="44"/>
        <v>8069</v>
      </c>
      <c r="B1430" s="27" t="s">
        <v>3232</v>
      </c>
      <c r="C1430" s="26" t="s">
        <v>1618</v>
      </c>
      <c r="D1430" s="26">
        <v>969</v>
      </c>
      <c r="E1430" s="26">
        <v>0</v>
      </c>
      <c r="F1430" s="26">
        <v>16.350000000000001</v>
      </c>
      <c r="G1430" s="26">
        <v>16.309999999999999</v>
      </c>
      <c r="I1430" s="26" t="str">
        <f t="shared" si="45"/>
        <v>Y</v>
      </c>
    </row>
    <row r="1431" spans="1:9" x14ac:dyDescent="0.15">
      <c r="A1431" s="26">
        <f t="shared" si="44"/>
        <v>8070</v>
      </c>
      <c r="B1431" s="27" t="s">
        <v>3233</v>
      </c>
      <c r="C1431" s="26" t="s">
        <v>1619</v>
      </c>
      <c r="D1431" s="26">
        <v>-11</v>
      </c>
      <c r="E1431" s="26">
        <v>0</v>
      </c>
      <c r="F1431" s="26">
        <v>89.4</v>
      </c>
      <c r="G1431" s="26">
        <v>88.51</v>
      </c>
      <c r="I1431" s="26" t="str">
        <f t="shared" si="45"/>
        <v>Y</v>
      </c>
    </row>
    <row r="1432" spans="1:9" x14ac:dyDescent="0.15">
      <c r="A1432" s="26">
        <f t="shared" si="44"/>
        <v>8071</v>
      </c>
      <c r="B1432" s="27" t="s">
        <v>3234</v>
      </c>
      <c r="C1432" s="26" t="s">
        <v>1620</v>
      </c>
      <c r="D1432" s="26">
        <v>1</v>
      </c>
      <c r="E1432" s="26">
        <v>0</v>
      </c>
      <c r="F1432" s="26">
        <v>14.1</v>
      </c>
      <c r="G1432" s="26">
        <v>12.32</v>
      </c>
      <c r="I1432" s="26" t="str">
        <f t="shared" si="45"/>
        <v>Y</v>
      </c>
    </row>
    <row r="1433" spans="1:9" x14ac:dyDescent="0.15">
      <c r="A1433" s="26">
        <f t="shared" si="44"/>
        <v>8072</v>
      </c>
      <c r="B1433" s="27" t="s">
        <v>3235</v>
      </c>
      <c r="C1433" s="26" t="s">
        <v>1621</v>
      </c>
      <c r="D1433" s="26">
        <v>0</v>
      </c>
      <c r="E1433" s="26">
        <v>0</v>
      </c>
      <c r="F1433" s="26">
        <v>26.55</v>
      </c>
      <c r="G1433" s="26">
        <v>26.48</v>
      </c>
      <c r="I1433" s="26" t="str">
        <f t="shared" si="45"/>
        <v>Y</v>
      </c>
    </row>
    <row r="1434" spans="1:9" x14ac:dyDescent="0.15">
      <c r="A1434" s="26">
        <f t="shared" si="44"/>
        <v>8074</v>
      </c>
      <c r="B1434" s="27" t="s">
        <v>3236</v>
      </c>
      <c r="C1434" s="26" t="s">
        <v>1622</v>
      </c>
      <c r="D1434" s="26">
        <v>39</v>
      </c>
      <c r="E1434" s="26">
        <v>30</v>
      </c>
      <c r="F1434" s="26">
        <v>25.85</v>
      </c>
      <c r="G1434" s="26">
        <v>25.05</v>
      </c>
      <c r="I1434" s="26" t="str">
        <f t="shared" si="45"/>
        <v>Y</v>
      </c>
    </row>
    <row r="1435" spans="1:9" x14ac:dyDescent="0.15">
      <c r="A1435" s="26">
        <f t="shared" si="44"/>
        <v>8076</v>
      </c>
      <c r="B1435" s="27" t="s">
        <v>3237</v>
      </c>
      <c r="C1435" s="26" t="s">
        <v>1623</v>
      </c>
      <c r="D1435" s="26">
        <v>-110</v>
      </c>
      <c r="E1435" s="26">
        <v>0</v>
      </c>
      <c r="F1435" s="26">
        <v>85.4</v>
      </c>
      <c r="G1435" s="26">
        <v>84.48</v>
      </c>
      <c r="I1435" s="26" t="str">
        <f t="shared" si="45"/>
        <v>Y</v>
      </c>
    </row>
    <row r="1436" spans="1:9" x14ac:dyDescent="0.15">
      <c r="A1436" s="26">
        <f t="shared" si="44"/>
        <v>8077</v>
      </c>
      <c r="B1436" s="27" t="s">
        <v>3238</v>
      </c>
      <c r="C1436" s="26" t="s">
        <v>1624</v>
      </c>
      <c r="D1436" s="26">
        <v>0</v>
      </c>
      <c r="E1436" s="26">
        <v>0</v>
      </c>
      <c r="F1436" s="26">
        <v>48.5</v>
      </c>
      <c r="G1436" s="26">
        <v>48.61</v>
      </c>
      <c r="I1436" s="26" t="str">
        <f t="shared" si="45"/>
        <v>-</v>
      </c>
    </row>
    <row r="1437" spans="1:9" x14ac:dyDescent="0.15">
      <c r="A1437" s="26">
        <f t="shared" si="44"/>
        <v>8079</v>
      </c>
      <c r="B1437" s="27" t="s">
        <v>3239</v>
      </c>
      <c r="C1437" s="26" t="s">
        <v>1625</v>
      </c>
      <c r="D1437" s="26">
        <v>0</v>
      </c>
      <c r="E1437" s="26">
        <v>0</v>
      </c>
      <c r="F1437" s="26">
        <v>17</v>
      </c>
      <c r="G1437" s="26">
        <v>17.05</v>
      </c>
      <c r="I1437" s="26" t="str">
        <f t="shared" si="45"/>
        <v>-</v>
      </c>
    </row>
    <row r="1438" spans="1:9" x14ac:dyDescent="0.15">
      <c r="A1438" s="26">
        <f t="shared" si="44"/>
        <v>8080</v>
      </c>
      <c r="B1438" s="27" t="s">
        <v>3240</v>
      </c>
      <c r="C1438" s="26" t="s">
        <v>1626</v>
      </c>
      <c r="D1438" s="26">
        <v>121</v>
      </c>
      <c r="E1438" s="26">
        <v>0</v>
      </c>
      <c r="F1438" s="26">
        <v>21.6</v>
      </c>
      <c r="G1438" s="26">
        <v>21.04</v>
      </c>
      <c r="I1438" s="26" t="str">
        <f t="shared" si="45"/>
        <v>Y</v>
      </c>
    </row>
    <row r="1439" spans="1:9" x14ac:dyDescent="0.15">
      <c r="A1439" s="26">
        <f t="shared" si="44"/>
        <v>8081</v>
      </c>
      <c r="B1439" s="27" t="s">
        <v>3241</v>
      </c>
      <c r="C1439" s="26" t="s">
        <v>1627</v>
      </c>
      <c r="D1439" s="26">
        <v>-383</v>
      </c>
      <c r="E1439" s="26">
        <v>0</v>
      </c>
      <c r="F1439" s="26">
        <v>78.2</v>
      </c>
      <c r="G1439" s="26">
        <v>76.72</v>
      </c>
      <c r="I1439" s="26" t="str">
        <f t="shared" si="45"/>
        <v>Y</v>
      </c>
    </row>
    <row r="1440" spans="1:9" x14ac:dyDescent="0.15">
      <c r="A1440" s="26">
        <f t="shared" si="44"/>
        <v>8082</v>
      </c>
      <c r="B1440" s="27" t="s">
        <v>3242</v>
      </c>
      <c r="C1440" s="26" t="s">
        <v>1628</v>
      </c>
      <c r="D1440" s="26">
        <v>0</v>
      </c>
      <c r="E1440" s="26">
        <v>0</v>
      </c>
      <c r="F1440" s="26">
        <v>2.33</v>
      </c>
      <c r="G1440" s="26">
        <v>2.0099999999999998</v>
      </c>
      <c r="I1440" s="26" t="str">
        <f t="shared" si="45"/>
        <v>Y</v>
      </c>
    </row>
    <row r="1441" spans="1:9" x14ac:dyDescent="0.15">
      <c r="A1441" s="26">
        <f t="shared" si="44"/>
        <v>8083</v>
      </c>
      <c r="B1441" s="27" t="s">
        <v>3243</v>
      </c>
      <c r="C1441" s="26" t="s">
        <v>1629</v>
      </c>
      <c r="D1441" s="26">
        <v>0</v>
      </c>
      <c r="E1441" s="26">
        <v>0</v>
      </c>
      <c r="F1441" s="26">
        <v>140</v>
      </c>
      <c r="G1441" s="26">
        <v>137.58000000000001</v>
      </c>
      <c r="I1441" s="26" t="str">
        <f t="shared" si="45"/>
        <v>Y</v>
      </c>
    </row>
    <row r="1442" spans="1:9" x14ac:dyDescent="0.15">
      <c r="A1442" s="26">
        <f t="shared" si="44"/>
        <v>8084</v>
      </c>
      <c r="B1442" s="27" t="s">
        <v>3244</v>
      </c>
      <c r="C1442" s="26" t="s">
        <v>1630</v>
      </c>
      <c r="D1442" s="26">
        <v>0</v>
      </c>
      <c r="E1442" s="26">
        <v>0</v>
      </c>
      <c r="F1442" s="26">
        <v>26.7</v>
      </c>
      <c r="G1442" s="26">
        <v>26.01</v>
      </c>
      <c r="I1442" s="26" t="str">
        <f t="shared" si="45"/>
        <v>Y</v>
      </c>
    </row>
    <row r="1443" spans="1:9" x14ac:dyDescent="0.15">
      <c r="A1443" s="26">
        <f t="shared" si="44"/>
        <v>8085</v>
      </c>
      <c r="B1443" s="27" t="s">
        <v>3245</v>
      </c>
      <c r="C1443" s="26" t="s">
        <v>1631</v>
      </c>
      <c r="D1443" s="26">
        <v>-41</v>
      </c>
      <c r="E1443" s="26">
        <v>0</v>
      </c>
      <c r="F1443" s="26">
        <v>4</v>
      </c>
      <c r="G1443" s="26">
        <v>3.8</v>
      </c>
      <c r="I1443" s="26" t="str">
        <f t="shared" si="45"/>
        <v>Y</v>
      </c>
    </row>
    <row r="1444" spans="1:9" x14ac:dyDescent="0.15">
      <c r="A1444" s="26">
        <f t="shared" si="44"/>
        <v>8086</v>
      </c>
      <c r="B1444" s="27" t="s">
        <v>3246</v>
      </c>
      <c r="C1444" s="26" t="s">
        <v>1632</v>
      </c>
      <c r="D1444" s="26">
        <v>-827</v>
      </c>
      <c r="E1444" s="26">
        <v>-16</v>
      </c>
      <c r="F1444" s="26">
        <v>74.599999999999994</v>
      </c>
      <c r="G1444" s="26">
        <v>76.16</v>
      </c>
      <c r="I1444" s="26" t="str">
        <f t="shared" si="45"/>
        <v>-</v>
      </c>
    </row>
    <row r="1445" spans="1:9" x14ac:dyDescent="0.15">
      <c r="A1445" s="26">
        <f t="shared" si="44"/>
        <v>8087</v>
      </c>
      <c r="B1445" s="27" t="s">
        <v>3247</v>
      </c>
      <c r="C1445" s="26" t="s">
        <v>1633</v>
      </c>
      <c r="D1445" s="26">
        <v>0</v>
      </c>
      <c r="E1445" s="26">
        <v>0</v>
      </c>
      <c r="F1445" s="26">
        <v>7.97</v>
      </c>
      <c r="G1445" s="26">
        <v>7.77</v>
      </c>
      <c r="I1445" s="26" t="str">
        <f t="shared" si="45"/>
        <v>Y</v>
      </c>
    </row>
    <row r="1446" spans="1:9" x14ac:dyDescent="0.15">
      <c r="A1446" s="26">
        <f t="shared" si="44"/>
        <v>8088</v>
      </c>
      <c r="B1446" s="27" t="s">
        <v>3248</v>
      </c>
      <c r="C1446" s="26" t="s">
        <v>1634</v>
      </c>
      <c r="D1446" s="26">
        <v>0</v>
      </c>
      <c r="E1446" s="26">
        <v>0</v>
      </c>
      <c r="F1446" s="26">
        <v>16.8</v>
      </c>
      <c r="G1446" s="26">
        <v>15.8</v>
      </c>
      <c r="I1446" s="26" t="str">
        <f t="shared" si="45"/>
        <v>Y</v>
      </c>
    </row>
    <row r="1447" spans="1:9" x14ac:dyDescent="0.15">
      <c r="A1447" s="26">
        <f t="shared" si="44"/>
        <v>8091</v>
      </c>
      <c r="B1447" s="27" t="s">
        <v>3249</v>
      </c>
      <c r="C1447" s="26" t="s">
        <v>1635</v>
      </c>
      <c r="D1447" s="26">
        <v>-19</v>
      </c>
      <c r="E1447" s="26">
        <v>0</v>
      </c>
      <c r="F1447" s="26">
        <v>63.5</v>
      </c>
      <c r="G1447" s="26">
        <v>62.68</v>
      </c>
      <c r="I1447" s="26" t="str">
        <f t="shared" si="45"/>
        <v>Y</v>
      </c>
    </row>
    <row r="1448" spans="1:9" x14ac:dyDescent="0.15">
      <c r="A1448" s="26">
        <f t="shared" si="44"/>
        <v>8092</v>
      </c>
      <c r="B1448" s="27" t="s">
        <v>3250</v>
      </c>
      <c r="C1448" s="26" t="s">
        <v>1636</v>
      </c>
      <c r="D1448" s="26">
        <v>-5</v>
      </c>
      <c r="E1448" s="26">
        <v>0</v>
      </c>
      <c r="F1448" s="26">
        <v>7.75</v>
      </c>
      <c r="G1448" s="26">
        <v>7.73</v>
      </c>
      <c r="I1448" s="26" t="str">
        <f t="shared" si="45"/>
        <v>Y</v>
      </c>
    </row>
    <row r="1449" spans="1:9" x14ac:dyDescent="0.15">
      <c r="A1449" s="26">
        <f t="shared" si="44"/>
        <v>8093</v>
      </c>
      <c r="B1449" s="27" t="s">
        <v>3251</v>
      </c>
      <c r="C1449" s="26" t="s">
        <v>1637</v>
      </c>
      <c r="D1449" s="26">
        <v>4</v>
      </c>
      <c r="E1449" s="26">
        <v>0</v>
      </c>
      <c r="F1449" s="26">
        <v>6.04</v>
      </c>
      <c r="G1449" s="26">
        <v>6.01</v>
      </c>
      <c r="I1449" s="26" t="str">
        <f t="shared" si="45"/>
        <v>Y</v>
      </c>
    </row>
    <row r="1450" spans="1:9" x14ac:dyDescent="0.15">
      <c r="A1450" s="26">
        <f t="shared" si="44"/>
        <v>8096</v>
      </c>
      <c r="B1450" s="27" t="s">
        <v>3252</v>
      </c>
      <c r="C1450" s="26" t="s">
        <v>1638</v>
      </c>
      <c r="D1450" s="26">
        <v>7</v>
      </c>
      <c r="E1450" s="26">
        <v>0</v>
      </c>
      <c r="F1450" s="26">
        <v>20.399999999999999</v>
      </c>
      <c r="G1450" s="26">
        <v>19.75</v>
      </c>
      <c r="I1450" s="26" t="str">
        <f t="shared" si="45"/>
        <v>Y</v>
      </c>
    </row>
    <row r="1451" spans="1:9" x14ac:dyDescent="0.15">
      <c r="A1451" s="26">
        <f t="shared" si="44"/>
        <v>8097</v>
      </c>
      <c r="B1451" s="27" t="s">
        <v>3253</v>
      </c>
      <c r="C1451" s="26" t="s">
        <v>1639</v>
      </c>
      <c r="D1451" s="26">
        <v>0</v>
      </c>
      <c r="E1451" s="26">
        <v>0</v>
      </c>
      <c r="F1451" s="26">
        <v>10.55</v>
      </c>
      <c r="G1451" s="26">
        <v>8.4499999999999993</v>
      </c>
      <c r="I1451" s="26" t="str">
        <f t="shared" si="45"/>
        <v>Y</v>
      </c>
    </row>
    <row r="1452" spans="1:9" x14ac:dyDescent="0.15">
      <c r="A1452" s="26">
        <f t="shared" si="44"/>
        <v>8099</v>
      </c>
      <c r="B1452" s="27" t="s">
        <v>3254</v>
      </c>
      <c r="C1452" s="26" t="s">
        <v>1640</v>
      </c>
      <c r="D1452" s="26">
        <v>1</v>
      </c>
      <c r="E1452" s="26">
        <v>0</v>
      </c>
      <c r="F1452" s="26">
        <v>18.649999999999999</v>
      </c>
      <c r="G1452" s="26">
        <v>18.059999999999999</v>
      </c>
      <c r="I1452" s="26" t="str">
        <f t="shared" si="45"/>
        <v>Y</v>
      </c>
    </row>
    <row r="1453" spans="1:9" x14ac:dyDescent="0.15">
      <c r="A1453" s="26">
        <f t="shared" si="44"/>
        <v>8101</v>
      </c>
      <c r="B1453" s="27" t="s">
        <v>3255</v>
      </c>
      <c r="C1453" s="26" t="s">
        <v>1641</v>
      </c>
      <c r="D1453" s="26">
        <v>-18</v>
      </c>
      <c r="E1453" s="26">
        <v>0</v>
      </c>
      <c r="F1453" s="26">
        <v>7.9</v>
      </c>
      <c r="G1453" s="26">
        <v>7.47</v>
      </c>
      <c r="I1453" s="26" t="str">
        <f t="shared" si="45"/>
        <v>Y</v>
      </c>
    </row>
    <row r="1454" spans="1:9" x14ac:dyDescent="0.15">
      <c r="A1454" s="26">
        <f t="shared" si="44"/>
        <v>8103</v>
      </c>
      <c r="B1454" s="27" t="s">
        <v>3256</v>
      </c>
      <c r="C1454" s="26" t="s">
        <v>1642</v>
      </c>
      <c r="D1454" s="26">
        <v>-52</v>
      </c>
      <c r="E1454" s="26">
        <v>0</v>
      </c>
      <c r="F1454" s="26">
        <v>28.3</v>
      </c>
      <c r="G1454" s="26">
        <v>26.13</v>
      </c>
      <c r="I1454" s="26" t="str">
        <f t="shared" si="45"/>
        <v>Y</v>
      </c>
    </row>
    <row r="1455" spans="1:9" x14ac:dyDescent="0.15">
      <c r="A1455" s="26">
        <f t="shared" si="44"/>
        <v>8105</v>
      </c>
      <c r="B1455" s="27" t="s">
        <v>3257</v>
      </c>
      <c r="C1455" s="26" t="s">
        <v>1643</v>
      </c>
      <c r="D1455" s="26">
        <v>-350</v>
      </c>
      <c r="E1455" s="26">
        <v>0</v>
      </c>
      <c r="F1455" s="26">
        <v>19.3</v>
      </c>
      <c r="G1455" s="26">
        <v>19.88</v>
      </c>
      <c r="I1455" s="26" t="str">
        <f t="shared" si="45"/>
        <v>-</v>
      </c>
    </row>
    <row r="1456" spans="1:9" x14ac:dyDescent="0.15">
      <c r="A1456" s="26">
        <f t="shared" si="44"/>
        <v>8107</v>
      </c>
      <c r="B1456" s="27" t="s">
        <v>3258</v>
      </c>
      <c r="C1456" s="26" t="s">
        <v>1644</v>
      </c>
      <c r="D1456" s="26">
        <v>-145</v>
      </c>
      <c r="E1456" s="26">
        <v>0</v>
      </c>
      <c r="F1456" s="26">
        <v>23.8</v>
      </c>
      <c r="G1456" s="26">
        <v>22.9</v>
      </c>
      <c r="I1456" s="26" t="str">
        <f t="shared" si="45"/>
        <v>Y</v>
      </c>
    </row>
    <row r="1457" spans="1:9" x14ac:dyDescent="0.15">
      <c r="A1457" s="26">
        <f t="shared" si="44"/>
        <v>8109</v>
      </c>
      <c r="B1457" s="27" t="s">
        <v>3259</v>
      </c>
      <c r="C1457" s="26" t="s">
        <v>1645</v>
      </c>
      <c r="D1457" s="26">
        <v>1</v>
      </c>
      <c r="E1457" s="26">
        <v>0</v>
      </c>
      <c r="F1457" s="26">
        <v>70.5</v>
      </c>
      <c r="G1457" s="26">
        <v>71.349999999999994</v>
      </c>
      <c r="I1457" s="26" t="str">
        <f t="shared" si="45"/>
        <v>-</v>
      </c>
    </row>
    <row r="1458" spans="1:9" x14ac:dyDescent="0.15">
      <c r="A1458" s="26">
        <f t="shared" si="44"/>
        <v>8110</v>
      </c>
      <c r="B1458" s="27" t="s">
        <v>3260</v>
      </c>
      <c r="C1458" s="26" t="s">
        <v>1646</v>
      </c>
      <c r="D1458" s="26">
        <v>-272</v>
      </c>
      <c r="E1458" s="26">
        <v>0</v>
      </c>
      <c r="F1458" s="26">
        <v>9.35</v>
      </c>
      <c r="G1458" s="26">
        <v>8.58</v>
      </c>
      <c r="I1458" s="26" t="str">
        <f t="shared" si="45"/>
        <v>Y</v>
      </c>
    </row>
    <row r="1459" spans="1:9" x14ac:dyDescent="0.15">
      <c r="A1459" s="26">
        <f t="shared" si="44"/>
        <v>8111</v>
      </c>
      <c r="B1459" s="27" t="s">
        <v>3261</v>
      </c>
      <c r="C1459" s="26" t="s">
        <v>1647</v>
      </c>
      <c r="D1459" s="26">
        <v>7</v>
      </c>
      <c r="E1459" s="26">
        <v>0</v>
      </c>
      <c r="F1459" s="26">
        <v>4.5199999999999996</v>
      </c>
      <c r="G1459" s="26">
        <v>4.16</v>
      </c>
      <c r="I1459" s="26" t="str">
        <f t="shared" si="45"/>
        <v>Y</v>
      </c>
    </row>
    <row r="1460" spans="1:9" x14ac:dyDescent="0.15">
      <c r="A1460" s="26">
        <f t="shared" si="44"/>
        <v>8112</v>
      </c>
      <c r="B1460" s="27" t="s">
        <v>3262</v>
      </c>
      <c r="C1460" s="26" t="s">
        <v>1648</v>
      </c>
      <c r="D1460" s="26">
        <v>-102</v>
      </c>
      <c r="E1460" s="26">
        <v>0</v>
      </c>
      <c r="F1460" s="26">
        <v>15.4</v>
      </c>
      <c r="G1460" s="26">
        <v>14.19</v>
      </c>
      <c r="I1460" s="26" t="str">
        <f t="shared" si="45"/>
        <v>Y</v>
      </c>
    </row>
    <row r="1461" spans="1:9" x14ac:dyDescent="0.15">
      <c r="A1461" s="26">
        <f t="shared" si="44"/>
        <v>8114</v>
      </c>
      <c r="B1461" s="27" t="s">
        <v>3263</v>
      </c>
      <c r="C1461" s="26" t="s">
        <v>1649</v>
      </c>
      <c r="D1461" s="26">
        <v>-56</v>
      </c>
      <c r="E1461" s="26">
        <v>-8</v>
      </c>
      <c r="F1461" s="26">
        <v>158.5</v>
      </c>
      <c r="G1461" s="26">
        <v>157.08000000000001</v>
      </c>
      <c r="I1461" s="26" t="str">
        <f t="shared" si="45"/>
        <v>Y</v>
      </c>
    </row>
    <row r="1462" spans="1:9" x14ac:dyDescent="0.15">
      <c r="A1462" s="26">
        <f t="shared" si="44"/>
        <v>8121</v>
      </c>
      <c r="B1462" s="27" t="s">
        <v>3264</v>
      </c>
      <c r="C1462" s="26" t="s">
        <v>1650</v>
      </c>
      <c r="D1462" s="26">
        <v>29</v>
      </c>
      <c r="E1462" s="26">
        <v>0</v>
      </c>
      <c r="F1462" s="26">
        <v>15.85</v>
      </c>
      <c r="G1462" s="26">
        <v>15.22</v>
      </c>
      <c r="I1462" s="26" t="str">
        <f t="shared" si="45"/>
        <v>Y</v>
      </c>
    </row>
    <row r="1463" spans="1:9" x14ac:dyDescent="0.15">
      <c r="A1463" s="26">
        <f t="shared" si="44"/>
        <v>8131</v>
      </c>
      <c r="B1463" s="27" t="s">
        <v>3265</v>
      </c>
      <c r="C1463" s="26" t="s">
        <v>1651</v>
      </c>
      <c r="D1463" s="26">
        <v>-138</v>
      </c>
      <c r="E1463" s="26">
        <v>0</v>
      </c>
      <c r="F1463" s="26">
        <v>21.3</v>
      </c>
      <c r="G1463" s="26">
        <v>20.55</v>
      </c>
      <c r="I1463" s="26" t="str">
        <f t="shared" si="45"/>
        <v>Y</v>
      </c>
    </row>
    <row r="1464" spans="1:9" x14ac:dyDescent="0.15">
      <c r="A1464" s="26">
        <f t="shared" si="44"/>
        <v>8147</v>
      </c>
      <c r="B1464" s="27" t="s">
        <v>3266</v>
      </c>
      <c r="C1464" s="26" t="s">
        <v>1652</v>
      </c>
      <c r="D1464" s="26">
        <v>-9</v>
      </c>
      <c r="E1464" s="26">
        <v>0</v>
      </c>
      <c r="F1464" s="26">
        <v>45.5</v>
      </c>
      <c r="G1464" s="26">
        <v>44.94</v>
      </c>
      <c r="I1464" s="26" t="str">
        <f t="shared" si="45"/>
        <v>Y</v>
      </c>
    </row>
    <row r="1465" spans="1:9" x14ac:dyDescent="0.15">
      <c r="A1465" s="26">
        <f t="shared" si="44"/>
        <v>8150</v>
      </c>
      <c r="B1465" s="27" t="s">
        <v>3267</v>
      </c>
      <c r="C1465" s="26" t="s">
        <v>1653</v>
      </c>
      <c r="D1465" s="26">
        <v>-233</v>
      </c>
      <c r="E1465" s="26">
        <v>0</v>
      </c>
      <c r="F1465" s="26">
        <v>34</v>
      </c>
      <c r="G1465" s="26">
        <v>33.700000000000003</v>
      </c>
      <c r="I1465" s="26" t="str">
        <f t="shared" si="45"/>
        <v>Y</v>
      </c>
    </row>
    <row r="1466" spans="1:9" x14ac:dyDescent="0.15">
      <c r="A1466" s="26">
        <f t="shared" si="44"/>
        <v>8155</v>
      </c>
      <c r="B1466" s="27" t="s">
        <v>3268</v>
      </c>
      <c r="C1466" s="26" t="s">
        <v>1654</v>
      </c>
      <c r="D1466" s="26">
        <v>3</v>
      </c>
      <c r="E1466" s="26">
        <v>0</v>
      </c>
      <c r="F1466" s="26">
        <v>19.100000000000001</v>
      </c>
      <c r="G1466" s="26">
        <v>19.21</v>
      </c>
      <c r="I1466" s="26" t="str">
        <f t="shared" si="45"/>
        <v>-</v>
      </c>
    </row>
    <row r="1467" spans="1:9" x14ac:dyDescent="0.15">
      <c r="A1467" s="26">
        <f t="shared" si="44"/>
        <v>8163</v>
      </c>
      <c r="B1467" s="27" t="s">
        <v>3269</v>
      </c>
      <c r="C1467" s="26" t="s">
        <v>1655</v>
      </c>
      <c r="D1467" s="26">
        <v>91</v>
      </c>
      <c r="E1467" s="26">
        <v>0</v>
      </c>
      <c r="F1467" s="26">
        <v>20.2</v>
      </c>
      <c r="G1467" s="26">
        <v>19</v>
      </c>
      <c r="I1467" s="26" t="str">
        <f t="shared" si="45"/>
        <v>Y</v>
      </c>
    </row>
    <row r="1468" spans="1:9" x14ac:dyDescent="0.15">
      <c r="A1468" s="26">
        <f t="shared" si="44"/>
        <v>8171</v>
      </c>
      <c r="B1468" s="27" t="s">
        <v>3270</v>
      </c>
      <c r="C1468" s="26" t="s">
        <v>1656</v>
      </c>
      <c r="D1468" s="26">
        <v>-66</v>
      </c>
      <c r="E1468" s="26">
        <v>0</v>
      </c>
      <c r="F1468" s="26">
        <v>12.55</v>
      </c>
      <c r="G1468" s="26">
        <v>12.25</v>
      </c>
      <c r="I1468" s="26" t="str">
        <f t="shared" si="45"/>
        <v>Y</v>
      </c>
    </row>
    <row r="1469" spans="1:9" x14ac:dyDescent="0.15">
      <c r="A1469" s="26">
        <f t="shared" si="44"/>
        <v>8176</v>
      </c>
      <c r="B1469" s="27" t="s">
        <v>3271</v>
      </c>
      <c r="C1469" s="26" t="s">
        <v>1657</v>
      </c>
      <c r="D1469" s="26">
        <v>-28</v>
      </c>
      <c r="E1469" s="26">
        <v>0</v>
      </c>
      <c r="F1469" s="26">
        <v>9</v>
      </c>
      <c r="G1469" s="26">
        <v>9.08</v>
      </c>
      <c r="I1469" s="26" t="str">
        <f t="shared" si="45"/>
        <v>-</v>
      </c>
    </row>
    <row r="1470" spans="1:9" x14ac:dyDescent="0.15">
      <c r="A1470" s="26">
        <f t="shared" si="44"/>
        <v>8182</v>
      </c>
      <c r="B1470" s="27" t="s">
        <v>3272</v>
      </c>
      <c r="C1470" s="26" t="s">
        <v>1658</v>
      </c>
      <c r="D1470" s="26">
        <v>0</v>
      </c>
      <c r="E1470" s="26">
        <v>0</v>
      </c>
      <c r="F1470" s="26">
        <v>13.6</v>
      </c>
      <c r="G1470" s="26">
        <v>13.41</v>
      </c>
      <c r="I1470" s="26" t="str">
        <f t="shared" si="45"/>
        <v>Y</v>
      </c>
    </row>
    <row r="1471" spans="1:9" x14ac:dyDescent="0.15">
      <c r="A1471" s="26">
        <f t="shared" si="44"/>
        <v>8183</v>
      </c>
      <c r="B1471" s="27" t="s">
        <v>3273</v>
      </c>
      <c r="C1471" s="26" t="s">
        <v>1659</v>
      </c>
      <c r="D1471" s="26">
        <v>-45</v>
      </c>
      <c r="E1471" s="26">
        <v>0</v>
      </c>
      <c r="F1471" s="26">
        <v>5.5</v>
      </c>
      <c r="G1471" s="26">
        <v>5.24</v>
      </c>
      <c r="I1471" s="26" t="str">
        <f t="shared" si="45"/>
        <v>Y</v>
      </c>
    </row>
    <row r="1472" spans="1:9" x14ac:dyDescent="0.15">
      <c r="A1472" s="26">
        <f t="shared" si="44"/>
        <v>8201</v>
      </c>
      <c r="B1472" s="27" t="s">
        <v>3274</v>
      </c>
      <c r="C1472" s="26" t="s">
        <v>1660</v>
      </c>
      <c r="D1472" s="26">
        <v>-10</v>
      </c>
      <c r="E1472" s="26">
        <v>0</v>
      </c>
      <c r="F1472" s="26">
        <v>8.25</v>
      </c>
      <c r="G1472" s="26">
        <v>8.2100000000000009</v>
      </c>
      <c r="I1472" s="26" t="str">
        <f t="shared" si="45"/>
        <v>Y</v>
      </c>
    </row>
    <row r="1473" spans="1:9" x14ac:dyDescent="0.15">
      <c r="A1473" s="26">
        <f t="shared" si="44"/>
        <v>8210</v>
      </c>
      <c r="B1473" s="27" t="s">
        <v>3275</v>
      </c>
      <c r="C1473" s="26" t="s">
        <v>1661</v>
      </c>
      <c r="D1473" s="26">
        <v>-1</v>
      </c>
      <c r="E1473" s="26">
        <v>0</v>
      </c>
      <c r="F1473" s="26">
        <v>42</v>
      </c>
      <c r="G1473" s="26">
        <v>40.630000000000003</v>
      </c>
      <c r="I1473" s="26" t="str">
        <f t="shared" si="45"/>
        <v>Y</v>
      </c>
    </row>
    <row r="1474" spans="1:9" x14ac:dyDescent="0.15">
      <c r="A1474" s="26">
        <f t="shared" si="44"/>
        <v>8213</v>
      </c>
      <c r="B1474" s="27" t="s">
        <v>3276</v>
      </c>
      <c r="C1474" s="26" t="s">
        <v>1662</v>
      </c>
      <c r="D1474" s="26">
        <v>55</v>
      </c>
      <c r="E1474" s="26">
        <v>0</v>
      </c>
      <c r="F1474" s="26">
        <v>34.299999999999997</v>
      </c>
      <c r="G1474" s="26">
        <v>33.14</v>
      </c>
      <c r="I1474" s="26" t="str">
        <f t="shared" si="45"/>
        <v>Y</v>
      </c>
    </row>
    <row r="1475" spans="1:9" x14ac:dyDescent="0.15">
      <c r="A1475" s="26">
        <f t="shared" si="44"/>
        <v>8215</v>
      </c>
      <c r="B1475" s="27" t="s">
        <v>3277</v>
      </c>
      <c r="C1475" s="26" t="s">
        <v>1663</v>
      </c>
      <c r="D1475" s="26">
        <v>67</v>
      </c>
      <c r="E1475" s="26">
        <v>0</v>
      </c>
      <c r="F1475" s="26">
        <v>20.6</v>
      </c>
      <c r="G1475" s="26">
        <v>20.12</v>
      </c>
      <c r="I1475" s="26" t="str">
        <f t="shared" si="45"/>
        <v>Y</v>
      </c>
    </row>
    <row r="1476" spans="1:9" x14ac:dyDescent="0.15">
      <c r="A1476" s="26">
        <f t="shared" si="44"/>
        <v>8222</v>
      </c>
      <c r="B1476" s="27" t="s">
        <v>3278</v>
      </c>
      <c r="C1476" s="26" t="s">
        <v>1664</v>
      </c>
      <c r="D1476" s="26">
        <v>5</v>
      </c>
      <c r="E1476" s="26">
        <v>0</v>
      </c>
      <c r="F1476" s="26">
        <v>28.15</v>
      </c>
      <c r="G1476" s="26">
        <v>28.06</v>
      </c>
      <c r="I1476" s="26" t="str">
        <f t="shared" si="45"/>
        <v>Y</v>
      </c>
    </row>
    <row r="1477" spans="1:9" x14ac:dyDescent="0.15">
      <c r="A1477" s="26">
        <f t="shared" si="44"/>
        <v>8234</v>
      </c>
      <c r="B1477" s="27" t="s">
        <v>3279</v>
      </c>
      <c r="C1477" s="26" t="s">
        <v>1665</v>
      </c>
      <c r="D1477" s="26">
        <v>55</v>
      </c>
      <c r="E1477" s="26">
        <v>0</v>
      </c>
      <c r="F1477" s="26">
        <v>28.85</v>
      </c>
      <c r="G1477" s="26">
        <v>28.22</v>
      </c>
      <c r="I1477" s="26" t="str">
        <f t="shared" si="45"/>
        <v>Y</v>
      </c>
    </row>
    <row r="1478" spans="1:9" x14ac:dyDescent="0.15">
      <c r="A1478" s="26">
        <f t="shared" si="44"/>
        <v>8240</v>
      </c>
      <c r="B1478" s="27" t="s">
        <v>3280</v>
      </c>
      <c r="C1478" s="26" t="s">
        <v>1666</v>
      </c>
      <c r="D1478" s="26">
        <v>0</v>
      </c>
      <c r="E1478" s="26">
        <v>0</v>
      </c>
      <c r="F1478" s="26">
        <v>20.3</v>
      </c>
      <c r="G1478" s="26">
        <v>19.71</v>
      </c>
      <c r="I1478" s="26" t="str">
        <f t="shared" si="45"/>
        <v>Y</v>
      </c>
    </row>
    <row r="1479" spans="1:9" x14ac:dyDescent="0.15">
      <c r="A1479" s="26">
        <f t="shared" ref="A1479:A1542" si="46">VALUE(B1479)</f>
        <v>8249</v>
      </c>
      <c r="B1479" s="27" t="s">
        <v>3281</v>
      </c>
      <c r="C1479" s="26" t="s">
        <v>1667</v>
      </c>
      <c r="D1479" s="26">
        <v>33</v>
      </c>
      <c r="E1479" s="26">
        <v>0</v>
      </c>
      <c r="F1479" s="26">
        <v>22.55</v>
      </c>
      <c r="G1479" s="26">
        <v>22.1</v>
      </c>
      <c r="I1479" s="26" t="str">
        <f t="shared" ref="I1479:I1542" si="47">IF(F1479&gt;G1479,"Y","-")</f>
        <v>Y</v>
      </c>
    </row>
    <row r="1480" spans="1:9" x14ac:dyDescent="0.15">
      <c r="A1480" s="26">
        <f t="shared" si="46"/>
        <v>8255</v>
      </c>
      <c r="B1480" s="27" t="s">
        <v>3282</v>
      </c>
      <c r="C1480" s="26" t="s">
        <v>1668</v>
      </c>
      <c r="D1480" s="26">
        <v>-97</v>
      </c>
      <c r="E1480" s="26">
        <v>0</v>
      </c>
      <c r="F1480" s="26">
        <v>128</v>
      </c>
      <c r="G1480" s="26">
        <v>131.13</v>
      </c>
      <c r="I1480" s="26" t="str">
        <f t="shared" si="47"/>
        <v>-</v>
      </c>
    </row>
    <row r="1481" spans="1:9" x14ac:dyDescent="0.15">
      <c r="A1481" s="26">
        <f t="shared" si="46"/>
        <v>8261</v>
      </c>
      <c r="B1481" s="27" t="s">
        <v>3283</v>
      </c>
      <c r="C1481" s="26" t="s">
        <v>1669</v>
      </c>
      <c r="D1481" s="26">
        <v>0</v>
      </c>
      <c r="E1481" s="26">
        <v>0</v>
      </c>
      <c r="F1481" s="26">
        <v>26</v>
      </c>
      <c r="G1481" s="26">
        <v>25.67</v>
      </c>
      <c r="I1481" s="26" t="str">
        <f t="shared" si="47"/>
        <v>Y</v>
      </c>
    </row>
    <row r="1482" spans="1:9" x14ac:dyDescent="0.15">
      <c r="A1482" s="26">
        <f t="shared" si="46"/>
        <v>8266</v>
      </c>
      <c r="B1482" s="27" t="s">
        <v>3284</v>
      </c>
      <c r="C1482" s="26" t="s">
        <v>1670</v>
      </c>
      <c r="D1482" s="26">
        <v>0</v>
      </c>
      <c r="E1482" s="26">
        <v>0</v>
      </c>
      <c r="F1482" s="26">
        <v>26.2</v>
      </c>
      <c r="G1482" s="26">
        <v>25.9</v>
      </c>
      <c r="I1482" s="26" t="str">
        <f t="shared" si="47"/>
        <v>Y</v>
      </c>
    </row>
    <row r="1483" spans="1:9" x14ac:dyDescent="0.15">
      <c r="A1483" s="26">
        <f t="shared" si="46"/>
        <v>8271</v>
      </c>
      <c r="B1483" s="27" t="s">
        <v>3285</v>
      </c>
      <c r="C1483" s="26" t="s">
        <v>1671</v>
      </c>
      <c r="D1483" s="26">
        <v>-11</v>
      </c>
      <c r="E1483" s="26">
        <v>0</v>
      </c>
      <c r="F1483" s="26">
        <v>19.2</v>
      </c>
      <c r="G1483" s="26">
        <v>17.48</v>
      </c>
      <c r="I1483" s="26" t="str">
        <f t="shared" si="47"/>
        <v>Y</v>
      </c>
    </row>
    <row r="1484" spans="1:9" x14ac:dyDescent="0.15">
      <c r="A1484" s="26">
        <f t="shared" si="46"/>
        <v>8277</v>
      </c>
      <c r="B1484" s="27" t="s">
        <v>3286</v>
      </c>
      <c r="C1484" s="26" t="s">
        <v>1672</v>
      </c>
      <c r="D1484" s="26">
        <v>20</v>
      </c>
      <c r="E1484" s="26">
        <v>0</v>
      </c>
      <c r="F1484" s="26">
        <v>7.77</v>
      </c>
      <c r="G1484" s="26">
        <v>7.27</v>
      </c>
      <c r="I1484" s="26" t="str">
        <f t="shared" si="47"/>
        <v>Y</v>
      </c>
    </row>
    <row r="1485" spans="1:9" x14ac:dyDescent="0.15">
      <c r="A1485" s="26">
        <f t="shared" si="46"/>
        <v>8287</v>
      </c>
      <c r="B1485" s="27" t="s">
        <v>3287</v>
      </c>
      <c r="C1485" s="26" t="s">
        <v>1673</v>
      </c>
      <c r="D1485" s="26">
        <v>110</v>
      </c>
      <c r="E1485" s="26">
        <v>0</v>
      </c>
      <c r="F1485" s="26">
        <v>19.05</v>
      </c>
      <c r="G1485" s="26">
        <v>17.93</v>
      </c>
      <c r="I1485" s="26" t="str">
        <f t="shared" si="47"/>
        <v>Y</v>
      </c>
    </row>
    <row r="1486" spans="1:9" x14ac:dyDescent="0.15">
      <c r="A1486" s="26">
        <f t="shared" si="46"/>
        <v>8289</v>
      </c>
      <c r="B1486" s="27" t="s">
        <v>3288</v>
      </c>
      <c r="C1486" s="26" t="s">
        <v>1674</v>
      </c>
      <c r="D1486" s="26">
        <v>0</v>
      </c>
      <c r="E1486" s="26">
        <v>0</v>
      </c>
      <c r="F1486" s="26">
        <v>11.3</v>
      </c>
      <c r="G1486" s="26">
        <v>11.13</v>
      </c>
      <c r="I1486" s="26" t="str">
        <f t="shared" si="47"/>
        <v>Y</v>
      </c>
    </row>
    <row r="1487" spans="1:9" x14ac:dyDescent="0.15">
      <c r="A1487" s="26">
        <f t="shared" si="46"/>
        <v>8291</v>
      </c>
      <c r="B1487" s="27" t="s">
        <v>3289</v>
      </c>
      <c r="C1487" s="26" t="s">
        <v>1675</v>
      </c>
      <c r="D1487" s="26">
        <v>28</v>
      </c>
      <c r="E1487" s="26">
        <v>0</v>
      </c>
      <c r="F1487" s="26">
        <v>4.7</v>
      </c>
      <c r="G1487" s="26">
        <v>4.8</v>
      </c>
      <c r="I1487" s="26" t="str">
        <f t="shared" si="47"/>
        <v>-</v>
      </c>
    </row>
    <row r="1488" spans="1:9" x14ac:dyDescent="0.15">
      <c r="A1488" s="26">
        <f t="shared" si="46"/>
        <v>8299</v>
      </c>
      <c r="B1488" s="27" t="s">
        <v>3290</v>
      </c>
      <c r="C1488" s="26" t="s">
        <v>1676</v>
      </c>
      <c r="D1488" s="26">
        <v>156</v>
      </c>
      <c r="E1488" s="26">
        <v>-30</v>
      </c>
      <c r="F1488" s="26">
        <v>256</v>
      </c>
      <c r="G1488" s="26">
        <v>254.25</v>
      </c>
      <c r="I1488" s="26" t="str">
        <f t="shared" si="47"/>
        <v>Y</v>
      </c>
    </row>
    <row r="1489" spans="1:9" x14ac:dyDescent="0.15">
      <c r="A1489" s="26">
        <f t="shared" si="46"/>
        <v>8341</v>
      </c>
      <c r="B1489" s="27" t="s">
        <v>3291</v>
      </c>
      <c r="C1489" s="26" t="s">
        <v>1677</v>
      </c>
      <c r="D1489" s="26">
        <v>-224</v>
      </c>
      <c r="E1489" s="26">
        <v>-239</v>
      </c>
      <c r="F1489" s="26">
        <v>140</v>
      </c>
      <c r="G1489" s="26">
        <v>143.46</v>
      </c>
      <c r="I1489" s="26" t="str">
        <f t="shared" si="47"/>
        <v>-</v>
      </c>
    </row>
    <row r="1490" spans="1:9" x14ac:dyDescent="0.15">
      <c r="A1490" s="26">
        <f t="shared" si="46"/>
        <v>8349</v>
      </c>
      <c r="B1490" s="27" t="s">
        <v>3292</v>
      </c>
      <c r="C1490" s="26" t="s">
        <v>1678</v>
      </c>
      <c r="D1490" s="26">
        <v>1</v>
      </c>
      <c r="E1490" s="26">
        <v>0</v>
      </c>
      <c r="F1490" s="26">
        <v>80.099999999999994</v>
      </c>
      <c r="G1490" s="26">
        <v>80.61</v>
      </c>
      <c r="I1490" s="26" t="str">
        <f t="shared" si="47"/>
        <v>-</v>
      </c>
    </row>
    <row r="1491" spans="1:9" x14ac:dyDescent="0.15">
      <c r="A1491" s="26">
        <f t="shared" si="46"/>
        <v>8354</v>
      </c>
      <c r="B1491" s="27" t="s">
        <v>3293</v>
      </c>
      <c r="C1491" s="26" t="s">
        <v>1679</v>
      </c>
      <c r="D1491" s="26">
        <v>-3</v>
      </c>
      <c r="E1491" s="26">
        <v>0</v>
      </c>
      <c r="F1491" s="26">
        <v>16.95</v>
      </c>
      <c r="G1491" s="26">
        <v>15.71</v>
      </c>
      <c r="I1491" s="26" t="str">
        <f t="shared" si="47"/>
        <v>Y</v>
      </c>
    </row>
    <row r="1492" spans="1:9" x14ac:dyDescent="0.15">
      <c r="A1492" s="26">
        <f t="shared" si="46"/>
        <v>8358</v>
      </c>
      <c r="B1492" s="27" t="s">
        <v>3294</v>
      </c>
      <c r="C1492" s="26" t="s">
        <v>1680</v>
      </c>
      <c r="D1492" s="26">
        <v>190</v>
      </c>
      <c r="E1492" s="26">
        <v>0</v>
      </c>
      <c r="F1492" s="26">
        <v>12</v>
      </c>
      <c r="G1492" s="26">
        <v>10.49</v>
      </c>
      <c r="I1492" s="26" t="str">
        <f t="shared" si="47"/>
        <v>Y</v>
      </c>
    </row>
    <row r="1493" spans="1:9" x14ac:dyDescent="0.15">
      <c r="A1493" s="26">
        <f t="shared" si="46"/>
        <v>8374</v>
      </c>
      <c r="B1493" s="27" t="s">
        <v>3295</v>
      </c>
      <c r="C1493" s="26" t="s">
        <v>1681</v>
      </c>
      <c r="D1493" s="26">
        <v>4</v>
      </c>
      <c r="E1493" s="26">
        <v>0</v>
      </c>
      <c r="F1493" s="26">
        <v>9.99</v>
      </c>
      <c r="G1493" s="26">
        <v>9.89</v>
      </c>
      <c r="I1493" s="26" t="str">
        <f t="shared" si="47"/>
        <v>Y</v>
      </c>
    </row>
    <row r="1494" spans="1:9" x14ac:dyDescent="0.15">
      <c r="A1494" s="26">
        <f t="shared" si="46"/>
        <v>8383</v>
      </c>
      <c r="B1494" s="27" t="s">
        <v>3296</v>
      </c>
      <c r="C1494" s="26" t="s">
        <v>1682</v>
      </c>
      <c r="D1494" s="26">
        <v>-119</v>
      </c>
      <c r="E1494" s="26">
        <v>-100</v>
      </c>
      <c r="F1494" s="26">
        <v>54.1</v>
      </c>
      <c r="G1494" s="26">
        <v>52.76</v>
      </c>
      <c r="I1494" s="26" t="str">
        <f t="shared" si="47"/>
        <v>Y</v>
      </c>
    </row>
    <row r="1495" spans="1:9" x14ac:dyDescent="0.15">
      <c r="A1495" s="26">
        <f t="shared" si="46"/>
        <v>8390</v>
      </c>
      <c r="B1495" s="27" t="s">
        <v>3297</v>
      </c>
      <c r="C1495" s="26" t="s">
        <v>1683</v>
      </c>
      <c r="D1495" s="26">
        <v>5</v>
      </c>
      <c r="E1495" s="26">
        <v>0</v>
      </c>
      <c r="F1495" s="26">
        <v>15.1</v>
      </c>
      <c r="G1495" s="26">
        <v>14.18</v>
      </c>
      <c r="I1495" s="26" t="str">
        <f t="shared" si="47"/>
        <v>Y</v>
      </c>
    </row>
    <row r="1496" spans="1:9" x14ac:dyDescent="0.15">
      <c r="A1496" s="26">
        <f t="shared" si="46"/>
        <v>8401</v>
      </c>
      <c r="B1496" s="27" t="s">
        <v>3298</v>
      </c>
      <c r="C1496" s="26" t="s">
        <v>1684</v>
      </c>
      <c r="D1496" s="26">
        <v>2</v>
      </c>
      <c r="E1496" s="26">
        <v>0</v>
      </c>
      <c r="F1496" s="26">
        <v>12.5</v>
      </c>
      <c r="G1496" s="26">
        <v>12.11</v>
      </c>
      <c r="I1496" s="26" t="str">
        <f t="shared" si="47"/>
        <v>Y</v>
      </c>
    </row>
    <row r="1497" spans="1:9" x14ac:dyDescent="0.15">
      <c r="A1497" s="26">
        <f t="shared" si="46"/>
        <v>8403</v>
      </c>
      <c r="B1497" s="27" t="s">
        <v>3299</v>
      </c>
      <c r="C1497" s="26" t="s">
        <v>1685</v>
      </c>
      <c r="D1497" s="26">
        <v>7</v>
      </c>
      <c r="E1497" s="26">
        <v>0</v>
      </c>
      <c r="F1497" s="26">
        <v>48.3</v>
      </c>
      <c r="G1497" s="26">
        <v>49.1</v>
      </c>
      <c r="I1497" s="26" t="str">
        <f t="shared" si="47"/>
        <v>-</v>
      </c>
    </row>
    <row r="1498" spans="1:9" x14ac:dyDescent="0.15">
      <c r="A1498" s="26">
        <f t="shared" si="46"/>
        <v>8404</v>
      </c>
      <c r="B1498" s="27" t="s">
        <v>3300</v>
      </c>
      <c r="C1498" s="26" t="s">
        <v>1686</v>
      </c>
      <c r="D1498" s="26">
        <v>-149</v>
      </c>
      <c r="E1498" s="26">
        <v>0</v>
      </c>
      <c r="F1498" s="26">
        <v>34.200000000000003</v>
      </c>
      <c r="G1498" s="26">
        <v>34.07</v>
      </c>
      <c r="I1498" s="26" t="str">
        <f t="shared" si="47"/>
        <v>Y</v>
      </c>
    </row>
    <row r="1499" spans="1:9" x14ac:dyDescent="0.15">
      <c r="A1499" s="26">
        <f t="shared" si="46"/>
        <v>8406</v>
      </c>
      <c r="B1499" s="27" t="s">
        <v>3301</v>
      </c>
      <c r="C1499" s="26" t="s">
        <v>1687</v>
      </c>
      <c r="D1499" s="26">
        <v>-2</v>
      </c>
      <c r="E1499" s="26">
        <v>-12</v>
      </c>
      <c r="F1499" s="26">
        <v>331</v>
      </c>
      <c r="G1499" s="26">
        <v>344.38</v>
      </c>
      <c r="I1499" s="26" t="str">
        <f t="shared" si="47"/>
        <v>-</v>
      </c>
    </row>
    <row r="1500" spans="1:9" x14ac:dyDescent="0.15">
      <c r="A1500" s="26">
        <f t="shared" si="46"/>
        <v>8409</v>
      </c>
      <c r="B1500" s="27" t="s">
        <v>3302</v>
      </c>
      <c r="C1500" s="26" t="s">
        <v>1688</v>
      </c>
      <c r="D1500" s="26">
        <v>-11</v>
      </c>
      <c r="E1500" s="26">
        <v>0</v>
      </c>
      <c r="F1500" s="26">
        <v>31.7</v>
      </c>
      <c r="G1500" s="26">
        <v>29.92</v>
      </c>
      <c r="I1500" s="26" t="str">
        <f t="shared" si="47"/>
        <v>Y</v>
      </c>
    </row>
    <row r="1501" spans="1:9" x14ac:dyDescent="0.15">
      <c r="A1501" s="26">
        <f t="shared" si="46"/>
        <v>8410</v>
      </c>
      <c r="B1501" s="27" t="s">
        <v>3303</v>
      </c>
      <c r="C1501" s="26" t="s">
        <v>1689</v>
      </c>
      <c r="D1501" s="26">
        <v>0</v>
      </c>
      <c r="E1501" s="26">
        <v>0</v>
      </c>
      <c r="F1501" s="26">
        <v>19.25</v>
      </c>
      <c r="G1501" s="26">
        <v>18.14</v>
      </c>
      <c r="I1501" s="26" t="str">
        <f t="shared" si="47"/>
        <v>Y</v>
      </c>
    </row>
    <row r="1502" spans="1:9" x14ac:dyDescent="0.15">
      <c r="A1502" s="26">
        <f t="shared" si="46"/>
        <v>8411</v>
      </c>
      <c r="B1502" s="27" t="s">
        <v>3304</v>
      </c>
      <c r="C1502" s="26" t="s">
        <v>1690</v>
      </c>
      <c r="D1502" s="26">
        <v>-23</v>
      </c>
      <c r="E1502" s="26">
        <v>0</v>
      </c>
      <c r="F1502" s="26">
        <v>30</v>
      </c>
      <c r="G1502" s="26">
        <v>27.47</v>
      </c>
      <c r="I1502" s="26" t="str">
        <f t="shared" si="47"/>
        <v>Y</v>
      </c>
    </row>
    <row r="1503" spans="1:9" x14ac:dyDescent="0.15">
      <c r="A1503" s="26">
        <f t="shared" si="46"/>
        <v>8416</v>
      </c>
      <c r="B1503" s="27" t="s">
        <v>3305</v>
      </c>
      <c r="C1503" s="26" t="s">
        <v>1691</v>
      </c>
      <c r="D1503" s="26">
        <v>-3</v>
      </c>
      <c r="E1503" s="26">
        <v>0</v>
      </c>
      <c r="F1503" s="26">
        <v>102</v>
      </c>
      <c r="G1503" s="26">
        <v>96.14</v>
      </c>
      <c r="I1503" s="26" t="str">
        <f t="shared" si="47"/>
        <v>Y</v>
      </c>
    </row>
    <row r="1504" spans="1:9" x14ac:dyDescent="0.15">
      <c r="A1504" s="26">
        <f t="shared" si="46"/>
        <v>8418</v>
      </c>
      <c r="B1504" s="27" t="s">
        <v>3306</v>
      </c>
      <c r="C1504" s="26" t="s">
        <v>1692</v>
      </c>
      <c r="D1504" s="26">
        <v>0</v>
      </c>
      <c r="E1504" s="26">
        <v>0</v>
      </c>
      <c r="F1504" s="26">
        <v>15.1</v>
      </c>
      <c r="G1504" s="26">
        <v>15.01</v>
      </c>
      <c r="I1504" s="26" t="str">
        <f t="shared" si="47"/>
        <v>Y</v>
      </c>
    </row>
    <row r="1505" spans="1:9" x14ac:dyDescent="0.15">
      <c r="A1505" s="26">
        <f t="shared" si="46"/>
        <v>8420</v>
      </c>
      <c r="B1505" s="27" t="s">
        <v>3307</v>
      </c>
      <c r="C1505" s="26" t="s">
        <v>1693</v>
      </c>
      <c r="D1505" s="26">
        <v>0</v>
      </c>
      <c r="E1505" s="26">
        <v>0</v>
      </c>
      <c r="F1505" s="26">
        <v>21.3</v>
      </c>
      <c r="G1505" s="26">
        <v>21.1</v>
      </c>
      <c r="I1505" s="26" t="str">
        <f t="shared" si="47"/>
        <v>Y</v>
      </c>
    </row>
    <row r="1506" spans="1:9" x14ac:dyDescent="0.15">
      <c r="A1506" s="26">
        <f t="shared" si="46"/>
        <v>8421</v>
      </c>
      <c r="B1506" s="27" t="s">
        <v>3308</v>
      </c>
      <c r="C1506" s="26" t="s">
        <v>1694</v>
      </c>
      <c r="D1506" s="26">
        <v>0</v>
      </c>
      <c r="E1506" s="26">
        <v>0</v>
      </c>
      <c r="F1506" s="26">
        <v>13.1</v>
      </c>
      <c r="G1506" s="26">
        <v>13</v>
      </c>
      <c r="I1506" s="26" t="str">
        <f t="shared" si="47"/>
        <v>Y</v>
      </c>
    </row>
    <row r="1507" spans="1:9" x14ac:dyDescent="0.15">
      <c r="A1507" s="26">
        <f t="shared" si="46"/>
        <v>8422</v>
      </c>
      <c r="B1507" s="27" t="s">
        <v>3309</v>
      </c>
      <c r="C1507" s="26" t="s">
        <v>1695</v>
      </c>
      <c r="D1507" s="26">
        <v>13</v>
      </c>
      <c r="E1507" s="26">
        <v>0</v>
      </c>
      <c r="F1507" s="26">
        <v>178</v>
      </c>
      <c r="G1507" s="26">
        <v>175.88</v>
      </c>
      <c r="I1507" s="26" t="str">
        <f t="shared" si="47"/>
        <v>Y</v>
      </c>
    </row>
    <row r="1508" spans="1:9" x14ac:dyDescent="0.15">
      <c r="A1508" s="26">
        <f t="shared" si="46"/>
        <v>8423</v>
      </c>
      <c r="B1508" s="27" t="s">
        <v>3310</v>
      </c>
      <c r="C1508" s="26" t="s">
        <v>1696</v>
      </c>
      <c r="D1508" s="26">
        <v>-1</v>
      </c>
      <c r="E1508" s="26">
        <v>0</v>
      </c>
      <c r="F1508" s="26">
        <v>20.8</v>
      </c>
      <c r="G1508" s="26">
        <v>20.98</v>
      </c>
      <c r="I1508" s="26" t="str">
        <f t="shared" si="47"/>
        <v>-</v>
      </c>
    </row>
    <row r="1509" spans="1:9" x14ac:dyDescent="0.15">
      <c r="A1509" s="26">
        <f t="shared" si="46"/>
        <v>8424</v>
      </c>
      <c r="B1509" s="27" t="s">
        <v>3311</v>
      </c>
      <c r="C1509" s="26" t="s">
        <v>1697</v>
      </c>
      <c r="D1509" s="26">
        <v>-3</v>
      </c>
      <c r="E1509" s="26">
        <v>0</v>
      </c>
      <c r="F1509" s="26">
        <v>38.6</v>
      </c>
      <c r="G1509" s="26">
        <v>37.520000000000003</v>
      </c>
      <c r="I1509" s="26" t="str">
        <f t="shared" si="47"/>
        <v>Y</v>
      </c>
    </row>
    <row r="1510" spans="1:9" x14ac:dyDescent="0.15">
      <c r="A1510" s="26">
        <f t="shared" si="46"/>
        <v>8426</v>
      </c>
      <c r="B1510" s="27" t="s">
        <v>3312</v>
      </c>
      <c r="C1510" s="26" t="s">
        <v>1698</v>
      </c>
      <c r="D1510" s="26">
        <v>0</v>
      </c>
      <c r="E1510" s="26">
        <v>0</v>
      </c>
      <c r="F1510" s="26">
        <v>41.9</v>
      </c>
      <c r="G1510" s="26">
        <v>45.32</v>
      </c>
      <c r="I1510" s="26" t="str">
        <f t="shared" si="47"/>
        <v>-</v>
      </c>
    </row>
    <row r="1511" spans="1:9" x14ac:dyDescent="0.15">
      <c r="A1511" s="26">
        <f t="shared" si="46"/>
        <v>8427</v>
      </c>
      <c r="B1511" s="27" t="s">
        <v>3313</v>
      </c>
      <c r="C1511" s="26" t="s">
        <v>1699</v>
      </c>
      <c r="D1511" s="26">
        <v>3</v>
      </c>
      <c r="E1511" s="26">
        <v>0</v>
      </c>
      <c r="F1511" s="26">
        <v>51.4</v>
      </c>
      <c r="G1511" s="26">
        <v>51.12</v>
      </c>
      <c r="I1511" s="26" t="str">
        <f t="shared" si="47"/>
        <v>Y</v>
      </c>
    </row>
    <row r="1512" spans="1:9" x14ac:dyDescent="0.15">
      <c r="A1512" s="26">
        <f t="shared" si="46"/>
        <v>8429</v>
      </c>
      <c r="B1512" s="27" t="s">
        <v>3314</v>
      </c>
      <c r="C1512" s="26" t="s">
        <v>1700</v>
      </c>
      <c r="D1512" s="26">
        <v>-159</v>
      </c>
      <c r="E1512" s="26">
        <v>0</v>
      </c>
      <c r="F1512" s="26">
        <v>61.5</v>
      </c>
      <c r="G1512" s="26">
        <v>57.87</v>
      </c>
      <c r="I1512" s="26" t="str">
        <f t="shared" si="47"/>
        <v>Y</v>
      </c>
    </row>
    <row r="1513" spans="1:9" x14ac:dyDescent="0.15">
      <c r="A1513" s="26">
        <f t="shared" si="46"/>
        <v>8431</v>
      </c>
      <c r="B1513" s="27" t="s">
        <v>3315</v>
      </c>
      <c r="C1513" s="26" t="s">
        <v>1701</v>
      </c>
      <c r="D1513" s="26">
        <v>-76</v>
      </c>
      <c r="E1513" s="26">
        <v>0</v>
      </c>
      <c r="F1513" s="26">
        <v>101</v>
      </c>
      <c r="G1513" s="26">
        <v>87.04</v>
      </c>
      <c r="I1513" s="26" t="str">
        <f t="shared" si="47"/>
        <v>Y</v>
      </c>
    </row>
    <row r="1514" spans="1:9" x14ac:dyDescent="0.15">
      <c r="A1514" s="26">
        <f t="shared" si="46"/>
        <v>8432</v>
      </c>
      <c r="B1514" s="27" t="s">
        <v>3316</v>
      </c>
      <c r="C1514" s="26" t="s">
        <v>1702</v>
      </c>
      <c r="D1514" s="26">
        <v>7</v>
      </c>
      <c r="E1514" s="26">
        <v>0</v>
      </c>
      <c r="F1514" s="26">
        <v>83.3</v>
      </c>
      <c r="G1514" s="26">
        <v>81.83</v>
      </c>
      <c r="I1514" s="26" t="str">
        <f t="shared" si="47"/>
        <v>Y</v>
      </c>
    </row>
    <row r="1515" spans="1:9" x14ac:dyDescent="0.15">
      <c r="A1515" s="26">
        <f t="shared" si="46"/>
        <v>8433</v>
      </c>
      <c r="B1515" s="27" t="s">
        <v>3317</v>
      </c>
      <c r="C1515" s="26" t="s">
        <v>1703</v>
      </c>
      <c r="D1515" s="26">
        <v>-336</v>
      </c>
      <c r="E1515" s="26">
        <v>-112</v>
      </c>
      <c r="F1515" s="26">
        <v>156</v>
      </c>
      <c r="G1515" s="26">
        <v>174.54</v>
      </c>
      <c r="I1515" s="26" t="str">
        <f t="shared" si="47"/>
        <v>-</v>
      </c>
    </row>
    <row r="1516" spans="1:9" x14ac:dyDescent="0.15">
      <c r="A1516" s="26">
        <f t="shared" si="46"/>
        <v>8435</v>
      </c>
      <c r="B1516" s="27" t="s">
        <v>3318</v>
      </c>
      <c r="C1516" s="26" t="s">
        <v>1704</v>
      </c>
      <c r="D1516" s="26">
        <v>0</v>
      </c>
      <c r="E1516" s="26">
        <v>0</v>
      </c>
      <c r="F1516" s="26">
        <v>49.1</v>
      </c>
      <c r="G1516" s="26">
        <v>48.17</v>
      </c>
      <c r="I1516" s="26" t="str">
        <f t="shared" si="47"/>
        <v>Y</v>
      </c>
    </row>
    <row r="1517" spans="1:9" x14ac:dyDescent="0.15">
      <c r="A1517" s="26">
        <f t="shared" si="46"/>
        <v>8436</v>
      </c>
      <c r="B1517" s="27" t="s">
        <v>3319</v>
      </c>
      <c r="C1517" s="26" t="s">
        <v>1705</v>
      </c>
      <c r="D1517" s="26">
        <v>-209</v>
      </c>
      <c r="E1517" s="26">
        <v>141</v>
      </c>
      <c r="F1517" s="26">
        <v>124</v>
      </c>
      <c r="G1517" s="26">
        <v>124.88</v>
      </c>
      <c r="I1517" s="26" t="str">
        <f t="shared" si="47"/>
        <v>-</v>
      </c>
    </row>
    <row r="1518" spans="1:9" x14ac:dyDescent="0.15">
      <c r="A1518" s="26">
        <f t="shared" si="46"/>
        <v>8437</v>
      </c>
      <c r="B1518" s="27" t="s">
        <v>3320</v>
      </c>
      <c r="C1518" s="26" t="s">
        <v>1706</v>
      </c>
      <c r="D1518" s="26">
        <v>-1</v>
      </c>
      <c r="E1518" s="26">
        <v>-10</v>
      </c>
      <c r="F1518" s="26">
        <v>158.5</v>
      </c>
      <c r="G1518" s="26">
        <v>155.29</v>
      </c>
      <c r="I1518" s="26" t="str">
        <f t="shared" si="47"/>
        <v>Y</v>
      </c>
    </row>
    <row r="1519" spans="1:9" x14ac:dyDescent="0.15">
      <c r="A1519" s="26">
        <f t="shared" si="46"/>
        <v>8443</v>
      </c>
      <c r="B1519" s="27" t="s">
        <v>3321</v>
      </c>
      <c r="C1519" s="26" t="s">
        <v>1707</v>
      </c>
      <c r="D1519" s="26">
        <v>0</v>
      </c>
      <c r="E1519" s="26">
        <v>0</v>
      </c>
      <c r="F1519" s="26">
        <v>21.25</v>
      </c>
      <c r="G1519" s="26">
        <v>20.98</v>
      </c>
      <c r="I1519" s="26" t="str">
        <f t="shared" si="47"/>
        <v>Y</v>
      </c>
    </row>
    <row r="1520" spans="1:9" x14ac:dyDescent="0.15">
      <c r="A1520" s="26">
        <f t="shared" si="46"/>
        <v>8444</v>
      </c>
      <c r="B1520" s="27" t="s">
        <v>3322</v>
      </c>
      <c r="C1520" s="26" t="s">
        <v>1708</v>
      </c>
      <c r="D1520" s="26">
        <v>4</v>
      </c>
      <c r="E1520" s="26">
        <v>0</v>
      </c>
      <c r="F1520" s="26">
        <v>73.900000000000006</v>
      </c>
      <c r="G1520" s="26">
        <v>75.290000000000006</v>
      </c>
      <c r="I1520" s="26" t="str">
        <f t="shared" si="47"/>
        <v>-</v>
      </c>
    </row>
    <row r="1521" spans="1:9" x14ac:dyDescent="0.15">
      <c r="A1521" s="26">
        <f t="shared" si="46"/>
        <v>8446</v>
      </c>
      <c r="B1521" s="27" t="s">
        <v>3323</v>
      </c>
      <c r="C1521" s="26" t="s">
        <v>1709</v>
      </c>
      <c r="D1521" s="26">
        <v>12</v>
      </c>
      <c r="E1521" s="26">
        <v>100</v>
      </c>
      <c r="F1521" s="26">
        <v>112</v>
      </c>
      <c r="G1521" s="26">
        <v>107.71</v>
      </c>
      <c r="I1521" s="26" t="str">
        <f t="shared" si="47"/>
        <v>Y</v>
      </c>
    </row>
    <row r="1522" spans="1:9" x14ac:dyDescent="0.15">
      <c r="A1522" s="26">
        <f t="shared" si="46"/>
        <v>8450</v>
      </c>
      <c r="B1522" s="27" t="s">
        <v>3324</v>
      </c>
      <c r="C1522" s="26" t="s">
        <v>1710</v>
      </c>
      <c r="D1522" s="26">
        <v>0</v>
      </c>
      <c r="E1522" s="26">
        <v>0</v>
      </c>
      <c r="F1522" s="26">
        <v>84.4</v>
      </c>
      <c r="G1522" s="26">
        <v>82.73</v>
      </c>
      <c r="I1522" s="26" t="str">
        <f t="shared" si="47"/>
        <v>Y</v>
      </c>
    </row>
    <row r="1523" spans="1:9" x14ac:dyDescent="0.15">
      <c r="A1523" s="26">
        <f t="shared" si="46"/>
        <v>8454</v>
      </c>
      <c r="B1523" s="27" t="s">
        <v>3325</v>
      </c>
      <c r="C1523" s="26" t="s">
        <v>1711</v>
      </c>
      <c r="D1523" s="26">
        <v>-12</v>
      </c>
      <c r="E1523" s="26">
        <v>0</v>
      </c>
      <c r="F1523" s="26">
        <v>212.5</v>
      </c>
      <c r="G1523" s="26">
        <v>213.38</v>
      </c>
      <c r="I1523" s="26" t="str">
        <f t="shared" si="47"/>
        <v>-</v>
      </c>
    </row>
    <row r="1524" spans="1:9" x14ac:dyDescent="0.15">
      <c r="A1524" s="26">
        <f t="shared" si="46"/>
        <v>8455</v>
      </c>
      <c r="B1524" s="27" t="s">
        <v>3326</v>
      </c>
      <c r="C1524" s="26" t="s">
        <v>1712</v>
      </c>
      <c r="D1524" s="26">
        <v>0</v>
      </c>
      <c r="E1524" s="26">
        <v>0</v>
      </c>
      <c r="F1524" s="26">
        <v>24.65</v>
      </c>
      <c r="G1524" s="26">
        <v>20.71</v>
      </c>
      <c r="I1524" s="26" t="str">
        <f t="shared" si="47"/>
        <v>Y</v>
      </c>
    </row>
    <row r="1525" spans="1:9" x14ac:dyDescent="0.15">
      <c r="A1525" s="26">
        <f t="shared" si="46"/>
        <v>8463</v>
      </c>
      <c r="B1525" s="27" t="s">
        <v>3327</v>
      </c>
      <c r="C1525" s="26" t="s">
        <v>1713</v>
      </c>
      <c r="D1525" s="26">
        <v>6</v>
      </c>
      <c r="E1525" s="26">
        <v>0</v>
      </c>
      <c r="F1525" s="26">
        <v>23.65</v>
      </c>
      <c r="G1525" s="26">
        <v>22.58</v>
      </c>
      <c r="I1525" s="26" t="str">
        <f t="shared" si="47"/>
        <v>Y</v>
      </c>
    </row>
    <row r="1526" spans="1:9" x14ac:dyDescent="0.15">
      <c r="A1526" s="26">
        <f t="shared" si="46"/>
        <v>8464</v>
      </c>
      <c r="B1526" s="27" t="s">
        <v>3328</v>
      </c>
      <c r="C1526" s="26" t="s">
        <v>1714</v>
      </c>
      <c r="D1526" s="26">
        <v>275</v>
      </c>
      <c r="E1526" s="26">
        <v>15</v>
      </c>
      <c r="F1526" s="26">
        <v>235</v>
      </c>
      <c r="G1526" s="26">
        <v>235.29</v>
      </c>
      <c r="I1526" s="26" t="str">
        <f t="shared" si="47"/>
        <v>-</v>
      </c>
    </row>
    <row r="1527" spans="1:9" x14ac:dyDescent="0.15">
      <c r="A1527" s="26">
        <f t="shared" si="46"/>
        <v>8467</v>
      </c>
      <c r="B1527" s="27" t="s">
        <v>3329</v>
      </c>
      <c r="C1527" s="26" t="s">
        <v>1715</v>
      </c>
      <c r="D1527" s="26">
        <v>0</v>
      </c>
      <c r="E1527" s="26">
        <v>0</v>
      </c>
      <c r="F1527" s="26">
        <v>66</v>
      </c>
      <c r="G1527" s="26">
        <v>65.650000000000006</v>
      </c>
      <c r="I1527" s="26" t="str">
        <f t="shared" si="47"/>
        <v>Y</v>
      </c>
    </row>
    <row r="1528" spans="1:9" x14ac:dyDescent="0.15">
      <c r="A1528" s="26">
        <f t="shared" si="46"/>
        <v>8472</v>
      </c>
      <c r="B1528" s="27" t="s">
        <v>3330</v>
      </c>
      <c r="C1528" s="26" t="s">
        <v>1716</v>
      </c>
      <c r="D1528" s="26">
        <v>11</v>
      </c>
      <c r="E1528" s="26">
        <v>0</v>
      </c>
      <c r="F1528" s="26">
        <v>99.5</v>
      </c>
      <c r="G1528" s="26">
        <v>106</v>
      </c>
      <c r="I1528" s="26" t="str">
        <f t="shared" si="47"/>
        <v>-</v>
      </c>
    </row>
    <row r="1529" spans="1:9" x14ac:dyDescent="0.15">
      <c r="A1529" s="26">
        <f t="shared" si="46"/>
        <v>8905</v>
      </c>
      <c r="B1529" s="27" t="s">
        <v>3331</v>
      </c>
      <c r="C1529" s="26" t="s">
        <v>1717</v>
      </c>
      <c r="D1529" s="26">
        <v>17</v>
      </c>
      <c r="E1529" s="26">
        <v>0</v>
      </c>
      <c r="F1529" s="26">
        <v>13.4</v>
      </c>
      <c r="G1529" s="26">
        <v>12.98</v>
      </c>
      <c r="I1529" s="26" t="str">
        <f t="shared" si="47"/>
        <v>Y</v>
      </c>
    </row>
    <row r="1530" spans="1:9" x14ac:dyDescent="0.15">
      <c r="A1530" s="26">
        <f t="shared" si="46"/>
        <v>8906</v>
      </c>
      <c r="B1530" s="27" t="s">
        <v>3332</v>
      </c>
      <c r="C1530" s="26" t="s">
        <v>1718</v>
      </c>
      <c r="D1530" s="26">
        <v>0</v>
      </c>
      <c r="E1530" s="26">
        <v>0</v>
      </c>
      <c r="F1530" s="26">
        <v>6.37</v>
      </c>
      <c r="G1530" s="26">
        <v>6.16</v>
      </c>
      <c r="I1530" s="26" t="str">
        <f t="shared" si="47"/>
        <v>Y</v>
      </c>
    </row>
    <row r="1531" spans="1:9" x14ac:dyDescent="0.15">
      <c r="A1531" s="26">
        <f t="shared" si="46"/>
        <v>8908</v>
      </c>
      <c r="B1531" s="27" t="s">
        <v>3333</v>
      </c>
      <c r="C1531" s="26" t="s">
        <v>1719</v>
      </c>
      <c r="D1531" s="26">
        <v>0</v>
      </c>
      <c r="E1531" s="26">
        <v>0</v>
      </c>
      <c r="F1531" s="26">
        <v>32.9</v>
      </c>
      <c r="G1531" s="26">
        <v>32.71</v>
      </c>
      <c r="I1531" s="26" t="str">
        <f t="shared" si="47"/>
        <v>Y</v>
      </c>
    </row>
    <row r="1532" spans="1:9" x14ac:dyDescent="0.15">
      <c r="A1532" s="26">
        <f t="shared" si="46"/>
        <v>8913</v>
      </c>
      <c r="B1532" s="27" t="s">
        <v>3334</v>
      </c>
      <c r="C1532" s="26" t="s">
        <v>1720</v>
      </c>
      <c r="D1532" s="26">
        <v>0</v>
      </c>
      <c r="E1532" s="26">
        <v>0</v>
      </c>
      <c r="F1532" s="26">
        <v>16.399999999999999</v>
      </c>
      <c r="G1532" s="26">
        <v>15.31</v>
      </c>
      <c r="I1532" s="26" t="str">
        <f t="shared" si="47"/>
        <v>Y</v>
      </c>
    </row>
    <row r="1533" spans="1:9" x14ac:dyDescent="0.15">
      <c r="A1533" s="26">
        <f t="shared" si="46"/>
        <v>8916</v>
      </c>
      <c r="B1533" s="27" t="s">
        <v>3335</v>
      </c>
      <c r="C1533" s="26" t="s">
        <v>1721</v>
      </c>
      <c r="D1533" s="26">
        <v>-77</v>
      </c>
      <c r="E1533" s="26">
        <v>0</v>
      </c>
      <c r="F1533" s="26">
        <v>53.5</v>
      </c>
      <c r="G1533" s="26">
        <v>54.31</v>
      </c>
      <c r="I1533" s="26" t="str">
        <f t="shared" si="47"/>
        <v>-</v>
      </c>
    </row>
    <row r="1534" spans="1:9" x14ac:dyDescent="0.15">
      <c r="A1534" s="26">
        <f t="shared" si="46"/>
        <v>8917</v>
      </c>
      <c r="B1534" s="27" t="s">
        <v>3336</v>
      </c>
      <c r="C1534" s="26" t="s">
        <v>1722</v>
      </c>
      <c r="D1534" s="26">
        <v>0</v>
      </c>
      <c r="E1534" s="26">
        <v>0</v>
      </c>
      <c r="F1534" s="26">
        <v>50.4</v>
      </c>
      <c r="G1534" s="26">
        <v>50.46</v>
      </c>
      <c r="I1534" s="26" t="str">
        <f t="shared" si="47"/>
        <v>-</v>
      </c>
    </row>
    <row r="1535" spans="1:9" x14ac:dyDescent="0.15">
      <c r="A1535" s="26">
        <f t="shared" si="46"/>
        <v>8921</v>
      </c>
      <c r="B1535" s="27" t="s">
        <v>3337</v>
      </c>
      <c r="C1535" s="26" t="s">
        <v>1723</v>
      </c>
      <c r="D1535" s="26">
        <v>0</v>
      </c>
      <c r="E1535" s="26">
        <v>0</v>
      </c>
      <c r="F1535" s="26">
        <v>17.8</v>
      </c>
      <c r="G1535" s="26">
        <v>17.98</v>
      </c>
      <c r="I1535" s="26" t="str">
        <f t="shared" si="47"/>
        <v>-</v>
      </c>
    </row>
    <row r="1536" spans="1:9" x14ac:dyDescent="0.15">
      <c r="A1536" s="26">
        <f t="shared" si="46"/>
        <v>8923</v>
      </c>
      <c r="B1536" s="27" t="s">
        <v>3338</v>
      </c>
      <c r="C1536" s="26" t="s">
        <v>1724</v>
      </c>
      <c r="D1536" s="26">
        <v>0</v>
      </c>
      <c r="E1536" s="26">
        <v>0</v>
      </c>
      <c r="F1536" s="26">
        <v>17</v>
      </c>
      <c r="G1536" s="26">
        <v>17.11</v>
      </c>
      <c r="I1536" s="26" t="str">
        <f t="shared" si="47"/>
        <v>-</v>
      </c>
    </row>
    <row r="1537" spans="1:9" x14ac:dyDescent="0.15">
      <c r="A1537" s="26">
        <f t="shared" si="46"/>
        <v>8924</v>
      </c>
      <c r="B1537" s="27" t="s">
        <v>3339</v>
      </c>
      <c r="C1537" s="26" t="s">
        <v>1725</v>
      </c>
      <c r="D1537" s="26">
        <v>3</v>
      </c>
      <c r="E1537" s="26">
        <v>0</v>
      </c>
      <c r="F1537" s="26">
        <v>18.7</v>
      </c>
      <c r="G1537" s="26">
        <v>18.850000000000001</v>
      </c>
      <c r="I1537" s="26" t="str">
        <f t="shared" si="47"/>
        <v>-</v>
      </c>
    </row>
    <row r="1538" spans="1:9" x14ac:dyDescent="0.15">
      <c r="A1538" s="26">
        <f t="shared" si="46"/>
        <v>8925</v>
      </c>
      <c r="B1538" s="27" t="s">
        <v>3340</v>
      </c>
      <c r="C1538" s="26" t="s">
        <v>1726</v>
      </c>
      <c r="I1538" s="26" t="str">
        <f t="shared" si="47"/>
        <v>-</v>
      </c>
    </row>
    <row r="1539" spans="1:9" x14ac:dyDescent="0.15">
      <c r="A1539" s="26">
        <f t="shared" si="46"/>
        <v>8926</v>
      </c>
      <c r="B1539" s="27" t="s">
        <v>3341</v>
      </c>
      <c r="C1539" s="26" t="s">
        <v>1727</v>
      </c>
      <c r="D1539" s="26">
        <v>-24</v>
      </c>
      <c r="E1539" s="26">
        <v>0</v>
      </c>
      <c r="F1539" s="26">
        <v>24.65</v>
      </c>
      <c r="G1539" s="26">
        <v>24.58</v>
      </c>
      <c r="I1539" s="26" t="str">
        <f t="shared" si="47"/>
        <v>Y</v>
      </c>
    </row>
    <row r="1540" spans="1:9" x14ac:dyDescent="0.15">
      <c r="A1540" s="26">
        <f t="shared" si="46"/>
        <v>8927</v>
      </c>
      <c r="B1540" s="27" t="s">
        <v>3342</v>
      </c>
      <c r="C1540" s="26" t="s">
        <v>1728</v>
      </c>
      <c r="D1540" s="26">
        <v>-5</v>
      </c>
      <c r="E1540" s="26">
        <v>0</v>
      </c>
      <c r="F1540" s="26">
        <v>9.8800000000000008</v>
      </c>
      <c r="G1540" s="26">
        <v>10.06</v>
      </c>
      <c r="I1540" s="26" t="str">
        <f t="shared" si="47"/>
        <v>-</v>
      </c>
    </row>
    <row r="1541" spans="1:9" x14ac:dyDescent="0.15">
      <c r="A1541" s="26">
        <f t="shared" si="46"/>
        <v>8928</v>
      </c>
      <c r="B1541" s="27" t="s">
        <v>3343</v>
      </c>
      <c r="C1541" s="26" t="s">
        <v>1729</v>
      </c>
      <c r="D1541" s="26">
        <v>1</v>
      </c>
      <c r="E1541" s="26">
        <v>0</v>
      </c>
      <c r="F1541" s="26">
        <v>40.799999999999997</v>
      </c>
      <c r="G1541" s="26">
        <v>40.619999999999997</v>
      </c>
      <c r="I1541" s="26" t="str">
        <f t="shared" si="47"/>
        <v>Y</v>
      </c>
    </row>
    <row r="1542" spans="1:9" x14ac:dyDescent="0.15">
      <c r="A1542" s="26">
        <f t="shared" si="46"/>
        <v>8929</v>
      </c>
      <c r="B1542" s="27" t="s">
        <v>3344</v>
      </c>
      <c r="C1542" s="26" t="s">
        <v>1730</v>
      </c>
      <c r="D1542" s="26">
        <v>-8</v>
      </c>
      <c r="E1542" s="26">
        <v>0</v>
      </c>
      <c r="F1542" s="26">
        <v>23.4</v>
      </c>
      <c r="G1542" s="26">
        <v>22.92</v>
      </c>
      <c r="I1542" s="26" t="str">
        <f t="shared" si="47"/>
        <v>Y</v>
      </c>
    </row>
    <row r="1543" spans="1:9" x14ac:dyDescent="0.15">
      <c r="A1543" s="26">
        <f t="shared" ref="A1543:A1606" si="48">VALUE(B1543)</f>
        <v>8930</v>
      </c>
      <c r="B1543" s="27" t="s">
        <v>3345</v>
      </c>
      <c r="C1543" s="26" t="s">
        <v>1731</v>
      </c>
      <c r="D1543" s="26">
        <v>7</v>
      </c>
      <c r="E1543" s="26">
        <v>0</v>
      </c>
      <c r="F1543" s="26">
        <v>9.4499999999999993</v>
      </c>
      <c r="G1543" s="26">
        <v>9.35</v>
      </c>
      <c r="I1543" s="26" t="str">
        <f t="shared" ref="I1543:I1606" si="49">IF(F1543&gt;G1543,"Y","-")</f>
        <v>Y</v>
      </c>
    </row>
    <row r="1544" spans="1:9" x14ac:dyDescent="0.15">
      <c r="A1544" s="26">
        <f t="shared" si="48"/>
        <v>8931</v>
      </c>
      <c r="B1544" s="27" t="s">
        <v>3346</v>
      </c>
      <c r="C1544" s="26" t="s">
        <v>1732</v>
      </c>
      <c r="D1544" s="26">
        <v>8</v>
      </c>
      <c r="E1544" s="26">
        <v>0</v>
      </c>
      <c r="F1544" s="26">
        <v>24</v>
      </c>
      <c r="G1544" s="26">
        <v>23.93</v>
      </c>
      <c r="I1544" s="26" t="str">
        <f t="shared" si="49"/>
        <v>Y</v>
      </c>
    </row>
    <row r="1545" spans="1:9" x14ac:dyDescent="0.15">
      <c r="A1545" s="26">
        <f t="shared" si="48"/>
        <v>8932</v>
      </c>
      <c r="B1545" s="27" t="s">
        <v>3347</v>
      </c>
      <c r="C1545" s="26" t="s">
        <v>1733</v>
      </c>
      <c r="D1545" s="26">
        <v>0</v>
      </c>
      <c r="E1545" s="26">
        <v>0</v>
      </c>
      <c r="F1545" s="26">
        <v>9.49</v>
      </c>
      <c r="G1545" s="26">
        <v>9.57</v>
      </c>
      <c r="I1545" s="26" t="str">
        <f t="shared" si="49"/>
        <v>-</v>
      </c>
    </row>
    <row r="1546" spans="1:9" x14ac:dyDescent="0.15">
      <c r="A1546" s="26">
        <f t="shared" si="48"/>
        <v>8933</v>
      </c>
      <c r="B1546" s="27" t="s">
        <v>3348</v>
      </c>
      <c r="C1546" s="26" t="s">
        <v>1734</v>
      </c>
      <c r="D1546" s="26">
        <v>29</v>
      </c>
      <c r="E1546" s="26">
        <v>0</v>
      </c>
      <c r="F1546" s="26">
        <v>15.05</v>
      </c>
      <c r="G1546" s="26">
        <v>14.59</v>
      </c>
      <c r="I1546" s="26" t="str">
        <f t="shared" si="49"/>
        <v>Y</v>
      </c>
    </row>
    <row r="1547" spans="1:9" x14ac:dyDescent="0.15">
      <c r="A1547" s="26">
        <f t="shared" si="48"/>
        <v>8934</v>
      </c>
      <c r="B1547" s="27" t="s">
        <v>3349</v>
      </c>
      <c r="C1547" s="26" t="s">
        <v>1735</v>
      </c>
      <c r="D1547" s="26">
        <v>0</v>
      </c>
      <c r="E1547" s="26">
        <v>0</v>
      </c>
      <c r="F1547" s="26">
        <v>39</v>
      </c>
      <c r="G1547" s="26">
        <v>39</v>
      </c>
      <c r="I1547" s="26" t="str">
        <f t="shared" si="49"/>
        <v>-</v>
      </c>
    </row>
    <row r="1548" spans="1:9" x14ac:dyDescent="0.15">
      <c r="A1548" s="26">
        <f t="shared" si="48"/>
        <v>8935</v>
      </c>
      <c r="B1548" s="27" t="s">
        <v>3350</v>
      </c>
      <c r="C1548" s="26" t="s">
        <v>1736</v>
      </c>
      <c r="D1548" s="26">
        <v>-6</v>
      </c>
      <c r="E1548" s="26">
        <v>0</v>
      </c>
      <c r="F1548" s="26">
        <v>6.49</v>
      </c>
      <c r="G1548" s="26">
        <v>6.27</v>
      </c>
      <c r="I1548" s="26" t="str">
        <f t="shared" si="49"/>
        <v>Y</v>
      </c>
    </row>
    <row r="1549" spans="1:9" x14ac:dyDescent="0.15">
      <c r="A1549" s="26">
        <f t="shared" si="48"/>
        <v>8936</v>
      </c>
      <c r="B1549" s="27" t="s">
        <v>3351</v>
      </c>
      <c r="C1549" s="26" t="s">
        <v>1737</v>
      </c>
      <c r="D1549" s="26">
        <v>45</v>
      </c>
      <c r="E1549" s="26">
        <v>0</v>
      </c>
      <c r="F1549" s="26">
        <v>30.85</v>
      </c>
      <c r="G1549" s="26">
        <v>30.58</v>
      </c>
      <c r="I1549" s="26" t="str">
        <f t="shared" si="49"/>
        <v>Y</v>
      </c>
    </row>
    <row r="1550" spans="1:9" x14ac:dyDescent="0.15">
      <c r="A1550" s="26">
        <f t="shared" si="48"/>
        <v>8937</v>
      </c>
      <c r="B1550" s="27" t="s">
        <v>3352</v>
      </c>
      <c r="C1550" s="26" t="s">
        <v>1738</v>
      </c>
      <c r="D1550" s="26">
        <v>-2</v>
      </c>
      <c r="E1550" s="26">
        <v>0</v>
      </c>
      <c r="F1550" s="26">
        <v>12</v>
      </c>
      <c r="G1550" s="26">
        <v>12.11</v>
      </c>
      <c r="I1550" s="26" t="str">
        <f t="shared" si="49"/>
        <v>-</v>
      </c>
    </row>
    <row r="1551" spans="1:9" x14ac:dyDescent="0.15">
      <c r="A1551" s="26">
        <f t="shared" si="48"/>
        <v>8938</v>
      </c>
      <c r="B1551" s="27" t="s">
        <v>3353</v>
      </c>
      <c r="C1551" s="26" t="s">
        <v>1739</v>
      </c>
      <c r="D1551" s="26">
        <v>0</v>
      </c>
      <c r="E1551" s="26">
        <v>0</v>
      </c>
      <c r="F1551" s="26">
        <v>18.95</v>
      </c>
      <c r="G1551" s="26">
        <v>18.8</v>
      </c>
      <c r="I1551" s="26" t="str">
        <f t="shared" si="49"/>
        <v>Y</v>
      </c>
    </row>
    <row r="1552" spans="1:9" x14ac:dyDescent="0.15">
      <c r="A1552" s="26">
        <f t="shared" si="48"/>
        <v>8940</v>
      </c>
      <c r="B1552" s="27" t="s">
        <v>3354</v>
      </c>
      <c r="C1552" s="26" t="s">
        <v>1740</v>
      </c>
      <c r="D1552" s="26">
        <v>0</v>
      </c>
      <c r="E1552" s="26">
        <v>0</v>
      </c>
      <c r="F1552" s="26">
        <v>15.9</v>
      </c>
      <c r="G1552" s="26">
        <v>15.73</v>
      </c>
      <c r="I1552" s="26" t="str">
        <f t="shared" si="49"/>
        <v>Y</v>
      </c>
    </row>
    <row r="1553" spans="1:9" x14ac:dyDescent="0.15">
      <c r="A1553" s="26">
        <f t="shared" si="48"/>
        <v>8941</v>
      </c>
      <c r="B1553" s="27" t="s">
        <v>3355</v>
      </c>
      <c r="C1553" s="26" t="s">
        <v>1741</v>
      </c>
      <c r="D1553" s="26">
        <v>0</v>
      </c>
      <c r="E1553" s="26">
        <v>0</v>
      </c>
      <c r="F1553" s="26">
        <v>86.1</v>
      </c>
      <c r="G1553" s="26">
        <v>85.59</v>
      </c>
      <c r="I1553" s="26" t="str">
        <f t="shared" si="49"/>
        <v>Y</v>
      </c>
    </row>
    <row r="1554" spans="1:9" x14ac:dyDescent="0.15">
      <c r="A1554" s="26">
        <f t="shared" si="48"/>
        <v>8942</v>
      </c>
      <c r="B1554" s="27" t="s">
        <v>3356</v>
      </c>
      <c r="C1554" s="26" t="s">
        <v>1742</v>
      </c>
      <c r="D1554" s="26">
        <v>-46</v>
      </c>
      <c r="E1554" s="26">
        <v>0</v>
      </c>
      <c r="F1554" s="26">
        <v>93.2</v>
      </c>
      <c r="G1554" s="26">
        <v>91.93</v>
      </c>
      <c r="I1554" s="26" t="str">
        <f t="shared" si="49"/>
        <v>Y</v>
      </c>
    </row>
    <row r="1555" spans="1:9" x14ac:dyDescent="0.15">
      <c r="A1555" s="26">
        <f t="shared" si="48"/>
        <v>8996</v>
      </c>
      <c r="B1555" s="27" t="s">
        <v>3357</v>
      </c>
      <c r="C1555" s="26" t="s">
        <v>1743</v>
      </c>
      <c r="D1555" s="26">
        <v>-92</v>
      </c>
      <c r="E1555" s="26">
        <v>60</v>
      </c>
      <c r="F1555" s="26">
        <v>60.2</v>
      </c>
      <c r="G1555" s="26">
        <v>56.08</v>
      </c>
      <c r="I1555" s="26" t="str">
        <f t="shared" si="49"/>
        <v>Y</v>
      </c>
    </row>
    <row r="1556" spans="1:9" x14ac:dyDescent="0.15">
      <c r="A1556" s="26">
        <f t="shared" si="48"/>
        <v>9103</v>
      </c>
      <c r="B1556" s="27" t="s">
        <v>3358</v>
      </c>
      <c r="C1556" s="26" t="s">
        <v>1744</v>
      </c>
      <c r="D1556" s="26">
        <v>0</v>
      </c>
      <c r="E1556" s="26">
        <v>0</v>
      </c>
      <c r="F1556" s="26">
        <v>1.77</v>
      </c>
      <c r="G1556" s="26">
        <v>1.79</v>
      </c>
      <c r="I1556" s="26" t="str">
        <f t="shared" si="49"/>
        <v>-</v>
      </c>
    </row>
    <row r="1557" spans="1:9" x14ac:dyDescent="0.15">
      <c r="A1557" s="26">
        <f t="shared" si="48"/>
        <v>910322</v>
      </c>
      <c r="B1557" s="27" t="s">
        <v>3359</v>
      </c>
      <c r="C1557" s="26" t="s">
        <v>1745</v>
      </c>
      <c r="D1557" s="26">
        <v>0</v>
      </c>
      <c r="E1557" s="26">
        <v>0</v>
      </c>
      <c r="F1557" s="26">
        <v>16.649999999999999</v>
      </c>
      <c r="G1557" s="26">
        <v>17.68</v>
      </c>
      <c r="I1557" s="26" t="str">
        <f t="shared" si="49"/>
        <v>-</v>
      </c>
    </row>
    <row r="1558" spans="1:9" x14ac:dyDescent="0.15">
      <c r="A1558" s="26">
        <f t="shared" si="48"/>
        <v>910482</v>
      </c>
      <c r="B1558" s="27" t="s">
        <v>3360</v>
      </c>
      <c r="C1558" s="26" t="s">
        <v>1746</v>
      </c>
      <c r="D1558" s="26">
        <v>0</v>
      </c>
      <c r="E1558" s="26">
        <v>0</v>
      </c>
      <c r="F1558" s="26">
        <v>2.89</v>
      </c>
      <c r="G1558" s="26">
        <v>2.56</v>
      </c>
      <c r="I1558" s="26" t="str">
        <f t="shared" si="49"/>
        <v>Y</v>
      </c>
    </row>
    <row r="1559" spans="1:9" x14ac:dyDescent="0.15">
      <c r="A1559" s="26">
        <f t="shared" si="48"/>
        <v>9105</v>
      </c>
      <c r="B1559" s="27" t="s">
        <v>3361</v>
      </c>
      <c r="C1559" s="26" t="s">
        <v>1747</v>
      </c>
      <c r="D1559" s="26">
        <v>281</v>
      </c>
      <c r="E1559" s="26">
        <v>0</v>
      </c>
      <c r="F1559" s="26">
        <v>3.35</v>
      </c>
      <c r="G1559" s="26">
        <v>3.37</v>
      </c>
      <c r="I1559" s="26" t="str">
        <f t="shared" si="49"/>
        <v>-</v>
      </c>
    </row>
    <row r="1560" spans="1:9" x14ac:dyDescent="0.15">
      <c r="A1560" s="26">
        <f t="shared" si="48"/>
        <v>9106</v>
      </c>
      <c r="B1560" s="27" t="s">
        <v>3362</v>
      </c>
      <c r="C1560" s="26" t="s">
        <v>1748</v>
      </c>
      <c r="D1560" s="26">
        <v>0</v>
      </c>
      <c r="E1560" s="26">
        <v>0</v>
      </c>
      <c r="F1560" s="26">
        <v>1.99</v>
      </c>
      <c r="G1560" s="26">
        <v>1.93</v>
      </c>
      <c r="I1560" s="26" t="str">
        <f t="shared" si="49"/>
        <v>Y</v>
      </c>
    </row>
    <row r="1561" spans="1:9" x14ac:dyDescent="0.15">
      <c r="A1561" s="26">
        <f t="shared" si="48"/>
        <v>910708</v>
      </c>
      <c r="B1561" s="27" t="s">
        <v>3363</v>
      </c>
      <c r="C1561" s="26" t="s">
        <v>1749</v>
      </c>
      <c r="D1561" s="26">
        <v>0</v>
      </c>
      <c r="E1561" s="26">
        <v>0</v>
      </c>
      <c r="F1561" s="26">
        <v>360</v>
      </c>
      <c r="G1561" s="26">
        <v>364.67</v>
      </c>
      <c r="I1561" s="26" t="str">
        <f t="shared" si="49"/>
        <v>-</v>
      </c>
    </row>
    <row r="1562" spans="1:9" x14ac:dyDescent="0.15">
      <c r="A1562" s="26">
        <f t="shared" si="48"/>
        <v>910801</v>
      </c>
      <c r="B1562" s="27" t="s">
        <v>3364</v>
      </c>
      <c r="C1562" s="26" t="s">
        <v>1750</v>
      </c>
      <c r="D1562" s="26">
        <v>0</v>
      </c>
      <c r="E1562" s="26">
        <v>0</v>
      </c>
      <c r="F1562" s="26">
        <v>4.49</v>
      </c>
      <c r="G1562" s="26">
        <v>4.5199999999999996</v>
      </c>
      <c r="I1562" s="26" t="str">
        <f t="shared" si="49"/>
        <v>-</v>
      </c>
    </row>
    <row r="1563" spans="1:9" x14ac:dyDescent="0.15">
      <c r="A1563" s="26">
        <f t="shared" si="48"/>
        <v>910861</v>
      </c>
      <c r="B1563" s="27" t="s">
        <v>3365</v>
      </c>
      <c r="C1563" s="26" t="s">
        <v>1751</v>
      </c>
      <c r="D1563" s="26">
        <v>26</v>
      </c>
      <c r="E1563" s="26">
        <v>0</v>
      </c>
      <c r="F1563" s="26">
        <v>19.149999999999999</v>
      </c>
      <c r="G1563" s="26">
        <v>18.55</v>
      </c>
      <c r="I1563" s="26" t="str">
        <f t="shared" si="49"/>
        <v>Y</v>
      </c>
    </row>
    <row r="1564" spans="1:9" x14ac:dyDescent="0.15">
      <c r="A1564" s="26">
        <f t="shared" si="48"/>
        <v>9110</v>
      </c>
      <c r="B1564" s="27" t="s">
        <v>3366</v>
      </c>
      <c r="C1564" s="26" t="s">
        <v>1752</v>
      </c>
      <c r="D1564" s="26">
        <v>0</v>
      </c>
      <c r="E1564" s="26">
        <v>0</v>
      </c>
      <c r="F1564" s="26">
        <v>3.85</v>
      </c>
      <c r="G1564" s="26">
        <v>3.56</v>
      </c>
      <c r="I1564" s="26" t="str">
        <f t="shared" si="49"/>
        <v>Y</v>
      </c>
    </row>
    <row r="1565" spans="1:9" x14ac:dyDescent="0.15">
      <c r="A1565" s="26">
        <f t="shared" si="48"/>
        <v>911608</v>
      </c>
      <c r="B1565" s="27" t="s">
        <v>3367</v>
      </c>
      <c r="C1565" s="26" t="s">
        <v>1753</v>
      </c>
      <c r="D1565" s="26">
        <v>0</v>
      </c>
      <c r="E1565" s="26">
        <v>0</v>
      </c>
      <c r="F1565" s="26">
        <v>3.08</v>
      </c>
      <c r="G1565" s="26">
        <v>3.34</v>
      </c>
      <c r="I1565" s="26" t="str">
        <f t="shared" si="49"/>
        <v>-</v>
      </c>
    </row>
    <row r="1566" spans="1:9" x14ac:dyDescent="0.15">
      <c r="A1566" s="26">
        <f t="shared" si="48"/>
        <v>911611</v>
      </c>
      <c r="B1566" s="27" t="s">
        <v>3368</v>
      </c>
      <c r="C1566" s="26" t="s">
        <v>1754</v>
      </c>
      <c r="D1566" s="26">
        <v>0</v>
      </c>
      <c r="E1566" s="26">
        <v>0</v>
      </c>
      <c r="F1566" s="26">
        <v>0.63</v>
      </c>
      <c r="G1566" s="26">
        <v>0.65</v>
      </c>
      <c r="I1566" s="26" t="str">
        <f t="shared" si="49"/>
        <v>-</v>
      </c>
    </row>
    <row r="1567" spans="1:9" x14ac:dyDescent="0.15">
      <c r="A1567" s="26">
        <f t="shared" si="48"/>
        <v>911613</v>
      </c>
      <c r="B1567" s="27" t="s">
        <v>3369</v>
      </c>
      <c r="C1567" s="26" t="s">
        <v>1755</v>
      </c>
      <c r="D1567" s="26">
        <v>0</v>
      </c>
      <c r="E1567" s="26">
        <v>0</v>
      </c>
      <c r="F1567" s="26">
        <v>1.98</v>
      </c>
      <c r="G1567" s="26">
        <v>3.72</v>
      </c>
      <c r="I1567" s="26" t="str">
        <f t="shared" si="49"/>
        <v>-</v>
      </c>
    </row>
    <row r="1568" spans="1:9" x14ac:dyDescent="0.15">
      <c r="A1568" s="26">
        <f t="shared" si="48"/>
        <v>911616</v>
      </c>
      <c r="B1568" s="27" t="s">
        <v>3370</v>
      </c>
      <c r="C1568" s="26" t="s">
        <v>1756</v>
      </c>
      <c r="D1568" s="26">
        <v>-90</v>
      </c>
      <c r="E1568" s="26">
        <v>0</v>
      </c>
      <c r="F1568" s="26">
        <v>2.4</v>
      </c>
      <c r="G1568" s="26">
        <v>2.36</v>
      </c>
      <c r="I1568" s="26" t="str">
        <f t="shared" si="49"/>
        <v>Y</v>
      </c>
    </row>
    <row r="1569" spans="1:9" x14ac:dyDescent="0.15">
      <c r="A1569" s="26">
        <f t="shared" si="48"/>
        <v>911619</v>
      </c>
      <c r="B1569" s="27" t="s">
        <v>3371</v>
      </c>
      <c r="C1569" s="26" t="s">
        <v>1757</v>
      </c>
      <c r="D1569" s="26">
        <v>0</v>
      </c>
      <c r="E1569" s="26">
        <v>0</v>
      </c>
      <c r="F1569" s="26">
        <v>1.17</v>
      </c>
      <c r="G1569" s="26">
        <v>1.18</v>
      </c>
      <c r="I1569" s="26" t="str">
        <f t="shared" si="49"/>
        <v>-</v>
      </c>
    </row>
    <row r="1570" spans="1:9" x14ac:dyDescent="0.15">
      <c r="A1570" s="26">
        <f t="shared" si="48"/>
        <v>911622</v>
      </c>
      <c r="B1570" s="27" t="s">
        <v>3372</v>
      </c>
      <c r="C1570" s="26" t="s">
        <v>1758</v>
      </c>
      <c r="D1570" s="26">
        <v>0</v>
      </c>
      <c r="E1570" s="26">
        <v>0</v>
      </c>
      <c r="F1570" s="26">
        <v>12.4</v>
      </c>
      <c r="G1570" s="26">
        <v>12.4</v>
      </c>
      <c r="I1570" s="26" t="str">
        <f t="shared" si="49"/>
        <v>-</v>
      </c>
    </row>
    <row r="1571" spans="1:9" x14ac:dyDescent="0.15">
      <c r="A1571" s="26">
        <f t="shared" si="48"/>
        <v>911626</v>
      </c>
      <c r="B1571" s="27" t="s">
        <v>3373</v>
      </c>
      <c r="C1571" s="26" t="s">
        <v>1759</v>
      </c>
      <c r="D1571" s="26">
        <v>0</v>
      </c>
      <c r="E1571" s="26">
        <v>0</v>
      </c>
      <c r="F1571" s="26">
        <v>4.05</v>
      </c>
      <c r="G1571" s="26">
        <v>4.33</v>
      </c>
      <c r="I1571" s="26" t="str">
        <f t="shared" si="49"/>
        <v>-</v>
      </c>
    </row>
    <row r="1572" spans="1:9" x14ac:dyDescent="0.15">
      <c r="A1572" s="26">
        <f t="shared" si="48"/>
        <v>911868</v>
      </c>
      <c r="B1572" s="27" t="s">
        <v>3374</v>
      </c>
      <c r="C1572" s="26" t="s">
        <v>1760</v>
      </c>
      <c r="D1572" s="26">
        <v>0</v>
      </c>
      <c r="E1572" s="26">
        <v>0</v>
      </c>
      <c r="F1572" s="26">
        <v>2.08</v>
      </c>
      <c r="G1572" s="26">
        <v>2.14</v>
      </c>
      <c r="I1572" s="26" t="str">
        <f t="shared" si="49"/>
        <v>-</v>
      </c>
    </row>
    <row r="1573" spans="1:9" x14ac:dyDescent="0.15">
      <c r="A1573" s="26">
        <f t="shared" si="48"/>
        <v>912000</v>
      </c>
      <c r="B1573" s="27" t="s">
        <v>3375</v>
      </c>
      <c r="C1573" s="26" t="s">
        <v>1761</v>
      </c>
      <c r="D1573" s="26">
        <v>0</v>
      </c>
      <c r="E1573" s="26">
        <v>0</v>
      </c>
      <c r="F1573" s="26">
        <v>3.15</v>
      </c>
      <c r="G1573" s="26">
        <v>2.97</v>
      </c>
      <c r="I1573" s="26" t="str">
        <f t="shared" si="49"/>
        <v>Y</v>
      </c>
    </row>
    <row r="1574" spans="1:9" x14ac:dyDescent="0.15">
      <c r="A1574" s="26">
        <f t="shared" si="48"/>
        <v>912398</v>
      </c>
      <c r="B1574" s="27" t="s">
        <v>3376</v>
      </c>
      <c r="C1574" s="26" t="s">
        <v>1762</v>
      </c>
      <c r="D1574" s="26">
        <v>0</v>
      </c>
      <c r="E1574" s="26">
        <v>0</v>
      </c>
      <c r="F1574" s="26">
        <v>7.87</v>
      </c>
      <c r="G1574" s="26">
        <v>7.8</v>
      </c>
      <c r="I1574" s="26" t="str">
        <f t="shared" si="49"/>
        <v>Y</v>
      </c>
    </row>
    <row r="1575" spans="1:9" x14ac:dyDescent="0.15">
      <c r="A1575" s="26">
        <f t="shared" si="48"/>
        <v>9136</v>
      </c>
      <c r="B1575" s="27" t="s">
        <v>3377</v>
      </c>
      <c r="C1575" s="26" t="s">
        <v>1763</v>
      </c>
      <c r="D1575" s="26">
        <v>41</v>
      </c>
      <c r="E1575" s="26">
        <v>0</v>
      </c>
      <c r="F1575" s="26">
        <v>14.45</v>
      </c>
      <c r="G1575" s="26">
        <v>14.11</v>
      </c>
      <c r="I1575" s="26" t="str">
        <f t="shared" si="49"/>
        <v>Y</v>
      </c>
    </row>
    <row r="1576" spans="1:9" x14ac:dyDescent="0.15">
      <c r="A1576" s="26">
        <f t="shared" si="48"/>
        <v>9157</v>
      </c>
      <c r="B1576" s="27" t="s">
        <v>3378</v>
      </c>
      <c r="C1576" s="26" t="s">
        <v>1764</v>
      </c>
      <c r="D1576" s="26">
        <v>0</v>
      </c>
      <c r="E1576" s="26">
        <v>0</v>
      </c>
      <c r="F1576" s="26">
        <v>1.33</v>
      </c>
      <c r="G1576" s="26">
        <v>1.34</v>
      </c>
      <c r="I1576" s="26" t="str">
        <f t="shared" si="49"/>
        <v>-</v>
      </c>
    </row>
    <row r="1577" spans="1:9" x14ac:dyDescent="0.15">
      <c r="A1577" s="26">
        <f t="shared" si="48"/>
        <v>9188</v>
      </c>
      <c r="B1577" s="27" t="s">
        <v>3379</v>
      </c>
      <c r="C1577" s="26" t="s">
        <v>1765</v>
      </c>
      <c r="D1577" s="26">
        <v>0</v>
      </c>
      <c r="E1577" s="26">
        <v>0</v>
      </c>
      <c r="F1577" s="26">
        <v>3.9</v>
      </c>
      <c r="G1577" s="26">
        <v>3.87</v>
      </c>
      <c r="I1577" s="26" t="str">
        <f t="shared" si="49"/>
        <v>Y</v>
      </c>
    </row>
    <row r="1578" spans="1:9" x14ac:dyDescent="0.15">
      <c r="A1578" s="26">
        <f t="shared" si="48"/>
        <v>9802</v>
      </c>
      <c r="B1578" s="27" t="s">
        <v>3380</v>
      </c>
      <c r="C1578" s="26" t="s">
        <v>1766</v>
      </c>
      <c r="D1578" s="26">
        <v>-25</v>
      </c>
      <c r="E1578" s="26">
        <v>0</v>
      </c>
      <c r="F1578" s="26">
        <v>53</v>
      </c>
      <c r="G1578" s="26">
        <v>52.01</v>
      </c>
      <c r="I1578" s="26" t="str">
        <f t="shared" si="49"/>
        <v>Y</v>
      </c>
    </row>
    <row r="1579" spans="1:9" x14ac:dyDescent="0.15">
      <c r="A1579" s="26">
        <f t="shared" si="48"/>
        <v>9902</v>
      </c>
      <c r="B1579" s="27" t="s">
        <v>3381</v>
      </c>
      <c r="C1579" s="26" t="s">
        <v>1767</v>
      </c>
      <c r="D1579" s="26">
        <v>-1</v>
      </c>
      <c r="E1579" s="26">
        <v>0</v>
      </c>
      <c r="F1579" s="26">
        <v>10.3</v>
      </c>
      <c r="G1579" s="26">
        <v>9.74</v>
      </c>
      <c r="I1579" s="26" t="str">
        <f t="shared" si="49"/>
        <v>Y</v>
      </c>
    </row>
    <row r="1580" spans="1:9" x14ac:dyDescent="0.15">
      <c r="A1580" s="26">
        <f t="shared" si="48"/>
        <v>9904</v>
      </c>
      <c r="B1580" s="27" t="s">
        <v>3382</v>
      </c>
      <c r="C1580" s="26" t="s">
        <v>1768</v>
      </c>
      <c r="D1580" s="26">
        <v>841</v>
      </c>
      <c r="E1580" s="26">
        <v>334</v>
      </c>
      <c r="F1580" s="26">
        <v>41.9</v>
      </c>
      <c r="G1580" s="26">
        <v>41.45</v>
      </c>
      <c r="I1580" s="26" t="str">
        <f t="shared" si="49"/>
        <v>Y</v>
      </c>
    </row>
    <row r="1581" spans="1:9" x14ac:dyDescent="0.15">
      <c r="A1581" s="26">
        <f t="shared" si="48"/>
        <v>9905</v>
      </c>
      <c r="B1581" s="27" t="s">
        <v>3383</v>
      </c>
      <c r="C1581" s="26" t="s">
        <v>1769</v>
      </c>
      <c r="D1581" s="26">
        <v>-70</v>
      </c>
      <c r="E1581" s="26">
        <v>0</v>
      </c>
      <c r="F1581" s="26">
        <v>29.35</v>
      </c>
      <c r="G1581" s="26">
        <v>28.76</v>
      </c>
      <c r="I1581" s="26" t="str">
        <f t="shared" si="49"/>
        <v>Y</v>
      </c>
    </row>
    <row r="1582" spans="1:9" x14ac:dyDescent="0.15">
      <c r="A1582" s="26">
        <f t="shared" si="48"/>
        <v>9906</v>
      </c>
      <c r="B1582" s="27" t="s">
        <v>3384</v>
      </c>
      <c r="C1582" s="26" t="s">
        <v>1770</v>
      </c>
      <c r="D1582" s="26">
        <v>-2</v>
      </c>
      <c r="E1582" s="26">
        <v>0</v>
      </c>
      <c r="F1582" s="26">
        <v>13.5</v>
      </c>
      <c r="G1582" s="26">
        <v>10.56</v>
      </c>
      <c r="I1582" s="26" t="str">
        <f t="shared" si="49"/>
        <v>Y</v>
      </c>
    </row>
    <row r="1583" spans="1:9" x14ac:dyDescent="0.15">
      <c r="A1583" s="26">
        <f t="shared" si="48"/>
        <v>9907</v>
      </c>
      <c r="B1583" s="27" t="s">
        <v>3385</v>
      </c>
      <c r="C1583" s="26" t="s">
        <v>1771</v>
      </c>
      <c r="D1583" s="26">
        <v>385</v>
      </c>
      <c r="E1583" s="26">
        <v>0</v>
      </c>
      <c r="F1583" s="26">
        <v>16.2</v>
      </c>
      <c r="G1583" s="26">
        <v>15.44</v>
      </c>
      <c r="I1583" s="26" t="str">
        <f t="shared" si="49"/>
        <v>Y</v>
      </c>
    </row>
    <row r="1584" spans="1:9" x14ac:dyDescent="0.15">
      <c r="A1584" s="26">
        <f t="shared" si="48"/>
        <v>9908</v>
      </c>
      <c r="B1584" s="27" t="s">
        <v>3386</v>
      </c>
      <c r="C1584" s="26" t="s">
        <v>1772</v>
      </c>
      <c r="D1584" s="26">
        <v>-15</v>
      </c>
      <c r="E1584" s="26">
        <v>2</v>
      </c>
      <c r="F1584" s="26">
        <v>23.1</v>
      </c>
      <c r="G1584" s="26">
        <v>22.65</v>
      </c>
      <c r="I1584" s="26" t="str">
        <f t="shared" si="49"/>
        <v>Y</v>
      </c>
    </row>
    <row r="1585" spans="1:9" x14ac:dyDescent="0.15">
      <c r="A1585" s="26">
        <f t="shared" si="48"/>
        <v>9910</v>
      </c>
      <c r="B1585" s="27" t="s">
        <v>3387</v>
      </c>
      <c r="C1585" s="26" t="s">
        <v>1773</v>
      </c>
      <c r="D1585" s="26">
        <v>222</v>
      </c>
      <c r="E1585" s="26">
        <v>25</v>
      </c>
      <c r="F1585" s="26">
        <v>177</v>
      </c>
      <c r="G1585" s="26">
        <v>180.29</v>
      </c>
      <c r="I1585" s="26" t="str">
        <f t="shared" si="49"/>
        <v>-</v>
      </c>
    </row>
    <row r="1586" spans="1:9" x14ac:dyDescent="0.15">
      <c r="A1586" s="26">
        <f t="shared" si="48"/>
        <v>9911</v>
      </c>
      <c r="B1586" s="27" t="s">
        <v>3388</v>
      </c>
      <c r="C1586" s="26" t="s">
        <v>1774</v>
      </c>
      <c r="D1586" s="26">
        <v>6</v>
      </c>
      <c r="E1586" s="26">
        <v>0</v>
      </c>
      <c r="F1586" s="26">
        <v>19.149999999999999</v>
      </c>
      <c r="G1586" s="26">
        <v>18.649999999999999</v>
      </c>
      <c r="I1586" s="26" t="str">
        <f t="shared" si="49"/>
        <v>Y</v>
      </c>
    </row>
    <row r="1587" spans="1:9" x14ac:dyDescent="0.15">
      <c r="A1587" s="26">
        <f t="shared" si="48"/>
        <v>9912</v>
      </c>
      <c r="B1587" s="27" t="s">
        <v>3389</v>
      </c>
      <c r="C1587" s="26" t="s">
        <v>1775</v>
      </c>
      <c r="D1587" s="26">
        <v>17</v>
      </c>
      <c r="E1587" s="26">
        <v>0</v>
      </c>
      <c r="F1587" s="26">
        <v>8.66</v>
      </c>
      <c r="G1587" s="26">
        <v>8.33</v>
      </c>
      <c r="I1587" s="26" t="str">
        <f t="shared" si="49"/>
        <v>Y</v>
      </c>
    </row>
    <row r="1588" spans="1:9" x14ac:dyDescent="0.15">
      <c r="A1588" s="26">
        <f t="shared" si="48"/>
        <v>9914</v>
      </c>
      <c r="B1588" s="27" t="s">
        <v>3390</v>
      </c>
      <c r="C1588" s="26" t="s">
        <v>1776</v>
      </c>
      <c r="D1588" s="26">
        <v>-193</v>
      </c>
      <c r="E1588" s="26">
        <v>0</v>
      </c>
      <c r="F1588" s="26">
        <v>156.5</v>
      </c>
      <c r="G1588" s="26">
        <v>155.25</v>
      </c>
      <c r="I1588" s="26" t="str">
        <f t="shared" si="49"/>
        <v>Y</v>
      </c>
    </row>
    <row r="1589" spans="1:9" x14ac:dyDescent="0.15">
      <c r="A1589" s="26">
        <f t="shared" si="48"/>
        <v>9917</v>
      </c>
      <c r="B1589" s="27" t="s">
        <v>3391</v>
      </c>
      <c r="C1589" s="26" t="s">
        <v>1777</v>
      </c>
      <c r="D1589" s="26">
        <v>-26</v>
      </c>
      <c r="E1589" s="26">
        <v>0</v>
      </c>
      <c r="F1589" s="26">
        <v>92.6</v>
      </c>
      <c r="G1589" s="26">
        <v>92.76</v>
      </c>
      <c r="I1589" s="26" t="str">
        <f t="shared" si="49"/>
        <v>-</v>
      </c>
    </row>
    <row r="1590" spans="1:9" x14ac:dyDescent="0.15">
      <c r="A1590" s="26">
        <f t="shared" si="48"/>
        <v>9918</v>
      </c>
      <c r="B1590" s="27" t="s">
        <v>3392</v>
      </c>
      <c r="C1590" s="26" t="s">
        <v>1778</v>
      </c>
      <c r="D1590" s="26">
        <v>-9</v>
      </c>
      <c r="E1590" s="26">
        <v>0</v>
      </c>
      <c r="F1590" s="26">
        <v>31.7</v>
      </c>
      <c r="G1590" s="26">
        <v>31.07</v>
      </c>
      <c r="I1590" s="26" t="str">
        <f t="shared" si="49"/>
        <v>Y</v>
      </c>
    </row>
    <row r="1591" spans="1:9" x14ac:dyDescent="0.15">
      <c r="A1591" s="26">
        <f t="shared" si="48"/>
        <v>9919</v>
      </c>
      <c r="B1591" s="27" t="s">
        <v>3393</v>
      </c>
      <c r="C1591" s="26" t="s">
        <v>1779</v>
      </c>
      <c r="D1591" s="26">
        <v>21</v>
      </c>
      <c r="E1591" s="26">
        <v>0</v>
      </c>
      <c r="F1591" s="26">
        <v>12.05</v>
      </c>
      <c r="G1591" s="26">
        <v>11.9</v>
      </c>
      <c r="I1591" s="26" t="str">
        <f t="shared" si="49"/>
        <v>Y</v>
      </c>
    </row>
    <row r="1592" spans="1:9" x14ac:dyDescent="0.15">
      <c r="A1592" s="26">
        <f t="shared" si="48"/>
        <v>9921</v>
      </c>
      <c r="B1592" s="27" t="s">
        <v>3394</v>
      </c>
      <c r="C1592" s="26" t="s">
        <v>1780</v>
      </c>
      <c r="D1592" s="26">
        <v>53</v>
      </c>
      <c r="E1592" s="26">
        <v>0</v>
      </c>
      <c r="F1592" s="26">
        <v>216</v>
      </c>
      <c r="G1592" s="26">
        <v>215</v>
      </c>
      <c r="I1592" s="26" t="str">
        <f t="shared" si="49"/>
        <v>Y</v>
      </c>
    </row>
    <row r="1593" spans="1:9" x14ac:dyDescent="0.15">
      <c r="A1593" s="26">
        <f t="shared" si="48"/>
        <v>9924</v>
      </c>
      <c r="B1593" s="27" t="s">
        <v>3395</v>
      </c>
      <c r="C1593" s="26" t="s">
        <v>1781</v>
      </c>
      <c r="D1593" s="26">
        <v>-38</v>
      </c>
      <c r="E1593" s="26">
        <v>0</v>
      </c>
      <c r="F1593" s="26">
        <v>45.9</v>
      </c>
      <c r="G1593" s="26">
        <v>45.16</v>
      </c>
      <c r="I1593" s="26" t="str">
        <f t="shared" si="49"/>
        <v>Y</v>
      </c>
    </row>
    <row r="1594" spans="1:9" x14ac:dyDescent="0.15">
      <c r="A1594" s="26">
        <f t="shared" si="48"/>
        <v>9925</v>
      </c>
      <c r="B1594" s="27" t="s">
        <v>3396</v>
      </c>
      <c r="C1594" s="26" t="s">
        <v>1782</v>
      </c>
      <c r="D1594" s="26">
        <v>-58</v>
      </c>
      <c r="E1594" s="26">
        <v>0</v>
      </c>
      <c r="F1594" s="26">
        <v>39.200000000000003</v>
      </c>
      <c r="G1594" s="26">
        <v>38.83</v>
      </c>
      <c r="I1594" s="26" t="str">
        <f t="shared" si="49"/>
        <v>Y</v>
      </c>
    </row>
    <row r="1595" spans="1:9" x14ac:dyDescent="0.15">
      <c r="A1595" s="26">
        <f t="shared" si="48"/>
        <v>9926</v>
      </c>
      <c r="B1595" s="27" t="s">
        <v>3397</v>
      </c>
      <c r="C1595" s="26" t="s">
        <v>1783</v>
      </c>
      <c r="D1595" s="26">
        <v>-5</v>
      </c>
      <c r="E1595" s="26">
        <v>0</v>
      </c>
      <c r="F1595" s="26">
        <v>40.549999999999997</v>
      </c>
      <c r="G1595" s="26">
        <v>40.22</v>
      </c>
      <c r="I1595" s="26" t="str">
        <f t="shared" si="49"/>
        <v>Y</v>
      </c>
    </row>
    <row r="1596" spans="1:9" x14ac:dyDescent="0.15">
      <c r="A1596" s="26">
        <f t="shared" si="48"/>
        <v>9927</v>
      </c>
      <c r="B1596" s="27" t="s">
        <v>3398</v>
      </c>
      <c r="C1596" s="26" t="s">
        <v>1784</v>
      </c>
      <c r="D1596" s="26">
        <v>9</v>
      </c>
      <c r="E1596" s="26">
        <v>-39</v>
      </c>
      <c r="F1596" s="26">
        <v>30.65</v>
      </c>
      <c r="G1596" s="26">
        <v>29.23</v>
      </c>
      <c r="I1596" s="26" t="str">
        <f t="shared" si="49"/>
        <v>Y</v>
      </c>
    </row>
    <row r="1597" spans="1:9" x14ac:dyDescent="0.15">
      <c r="A1597" s="26">
        <f t="shared" si="48"/>
        <v>9928</v>
      </c>
      <c r="B1597" s="27" t="s">
        <v>3399</v>
      </c>
      <c r="C1597" s="26" t="s">
        <v>1785</v>
      </c>
      <c r="D1597" s="26">
        <v>0</v>
      </c>
      <c r="E1597" s="26">
        <v>0</v>
      </c>
      <c r="F1597" s="26">
        <v>8.66</v>
      </c>
      <c r="G1597" s="26">
        <v>8.49</v>
      </c>
      <c r="I1597" s="26" t="str">
        <f t="shared" si="49"/>
        <v>Y</v>
      </c>
    </row>
    <row r="1598" spans="1:9" x14ac:dyDescent="0.15">
      <c r="A1598" s="26">
        <f t="shared" si="48"/>
        <v>9929</v>
      </c>
      <c r="B1598" s="27" t="s">
        <v>3400</v>
      </c>
      <c r="C1598" s="26" t="s">
        <v>1786</v>
      </c>
      <c r="D1598" s="26">
        <v>0</v>
      </c>
      <c r="E1598" s="26">
        <v>0</v>
      </c>
      <c r="F1598" s="26">
        <v>13.6</v>
      </c>
      <c r="G1598" s="26">
        <v>13.24</v>
      </c>
      <c r="I1598" s="26" t="str">
        <f t="shared" si="49"/>
        <v>Y</v>
      </c>
    </row>
    <row r="1599" spans="1:9" x14ac:dyDescent="0.15">
      <c r="A1599" s="26">
        <f t="shared" si="48"/>
        <v>9930</v>
      </c>
      <c r="B1599" s="27" t="s">
        <v>3401</v>
      </c>
      <c r="C1599" s="26" t="s">
        <v>1787</v>
      </c>
      <c r="D1599" s="26">
        <v>24</v>
      </c>
      <c r="E1599" s="26">
        <v>0</v>
      </c>
      <c r="F1599" s="26">
        <v>62.1</v>
      </c>
      <c r="G1599" s="26">
        <v>61.25</v>
      </c>
      <c r="I1599" s="26" t="str">
        <f t="shared" si="49"/>
        <v>Y</v>
      </c>
    </row>
    <row r="1600" spans="1:9" x14ac:dyDescent="0.15">
      <c r="A1600" s="26">
        <f t="shared" si="48"/>
        <v>9931</v>
      </c>
      <c r="B1600" s="27" t="s">
        <v>3402</v>
      </c>
      <c r="C1600" s="26" t="s">
        <v>1788</v>
      </c>
      <c r="D1600" s="26">
        <v>-1</v>
      </c>
      <c r="E1600" s="26">
        <v>0</v>
      </c>
      <c r="F1600" s="26">
        <v>31.15</v>
      </c>
      <c r="G1600" s="26">
        <v>31.39</v>
      </c>
      <c r="I1600" s="26" t="str">
        <f t="shared" si="49"/>
        <v>-</v>
      </c>
    </row>
    <row r="1601" spans="1:9" x14ac:dyDescent="0.15">
      <c r="A1601" s="26">
        <f t="shared" si="48"/>
        <v>9933</v>
      </c>
      <c r="B1601" s="27" t="s">
        <v>3403</v>
      </c>
      <c r="C1601" s="26" t="s">
        <v>1789</v>
      </c>
      <c r="D1601" s="26">
        <v>1274</v>
      </c>
      <c r="E1601" s="26">
        <v>10</v>
      </c>
      <c r="F1601" s="26">
        <v>40.85</v>
      </c>
      <c r="G1601" s="26">
        <v>38.200000000000003</v>
      </c>
      <c r="I1601" s="26" t="str">
        <f t="shared" si="49"/>
        <v>Y</v>
      </c>
    </row>
    <row r="1602" spans="1:9" x14ac:dyDescent="0.15">
      <c r="A1602" s="26">
        <f t="shared" si="48"/>
        <v>9934</v>
      </c>
      <c r="B1602" s="27" t="s">
        <v>3404</v>
      </c>
      <c r="C1602" s="26" t="s">
        <v>1790</v>
      </c>
      <c r="D1602" s="26">
        <v>205</v>
      </c>
      <c r="E1602" s="26">
        <v>0</v>
      </c>
      <c r="F1602" s="26">
        <v>15.65</v>
      </c>
      <c r="G1602" s="26">
        <v>15.38</v>
      </c>
      <c r="I1602" s="26" t="str">
        <f t="shared" si="49"/>
        <v>Y</v>
      </c>
    </row>
    <row r="1603" spans="1:9" x14ac:dyDescent="0.15">
      <c r="A1603" s="26">
        <f t="shared" si="48"/>
        <v>9935</v>
      </c>
      <c r="B1603" s="27" t="s">
        <v>3405</v>
      </c>
      <c r="C1603" s="26" t="s">
        <v>1791</v>
      </c>
      <c r="D1603" s="26">
        <v>37</v>
      </c>
      <c r="E1603" s="26">
        <v>0</v>
      </c>
      <c r="F1603" s="26">
        <v>11.25</v>
      </c>
      <c r="G1603" s="26">
        <v>11.17</v>
      </c>
      <c r="I1603" s="26" t="str">
        <f t="shared" si="49"/>
        <v>Y</v>
      </c>
    </row>
    <row r="1604" spans="1:9" x14ac:dyDescent="0.15">
      <c r="A1604" s="26">
        <f t="shared" si="48"/>
        <v>9937</v>
      </c>
      <c r="B1604" s="27" t="s">
        <v>3406</v>
      </c>
      <c r="C1604" s="26" t="s">
        <v>1792</v>
      </c>
      <c r="D1604" s="26">
        <v>-26</v>
      </c>
      <c r="E1604" s="26">
        <v>0</v>
      </c>
      <c r="F1604" s="26">
        <v>36.15</v>
      </c>
      <c r="G1604" s="26">
        <v>36.03</v>
      </c>
      <c r="I1604" s="26" t="str">
        <f t="shared" si="49"/>
        <v>Y</v>
      </c>
    </row>
    <row r="1605" spans="1:9" x14ac:dyDescent="0.15">
      <c r="A1605" s="26">
        <f t="shared" si="48"/>
        <v>9938</v>
      </c>
      <c r="B1605" s="27" t="s">
        <v>3407</v>
      </c>
      <c r="C1605" s="26" t="s">
        <v>1793</v>
      </c>
      <c r="D1605" s="26">
        <v>33</v>
      </c>
      <c r="E1605" s="26">
        <v>290</v>
      </c>
      <c r="F1605" s="26">
        <v>82.6</v>
      </c>
      <c r="G1605" s="26">
        <v>81.16</v>
      </c>
      <c r="I1605" s="26" t="str">
        <f t="shared" si="49"/>
        <v>Y</v>
      </c>
    </row>
    <row r="1606" spans="1:9" x14ac:dyDescent="0.15">
      <c r="A1606" s="26">
        <f t="shared" si="48"/>
        <v>9939</v>
      </c>
      <c r="B1606" s="27" t="s">
        <v>3408</v>
      </c>
      <c r="C1606" s="26" t="s">
        <v>1794</v>
      </c>
      <c r="D1606" s="26">
        <v>848</v>
      </c>
      <c r="E1606" s="26">
        <v>0</v>
      </c>
      <c r="F1606" s="26">
        <v>51</v>
      </c>
      <c r="G1606" s="26">
        <v>48.51</v>
      </c>
      <c r="I1606" s="26" t="str">
        <f t="shared" si="49"/>
        <v>Y</v>
      </c>
    </row>
    <row r="1607" spans="1:9" x14ac:dyDescent="0.15">
      <c r="A1607" s="26">
        <f t="shared" ref="A1607:A1621" si="50">VALUE(B1607)</f>
        <v>9940</v>
      </c>
      <c r="B1607" s="27" t="s">
        <v>3409</v>
      </c>
      <c r="C1607" s="26" t="s">
        <v>1795</v>
      </c>
      <c r="D1607" s="26">
        <v>-25</v>
      </c>
      <c r="E1607" s="26">
        <v>0</v>
      </c>
      <c r="F1607" s="26">
        <v>27.5</v>
      </c>
      <c r="G1607" s="26">
        <v>26.71</v>
      </c>
      <c r="I1607" s="26" t="str">
        <f t="shared" ref="I1607:I1621" si="51">IF(F1607&gt;G1607,"Y","-")</f>
        <v>Y</v>
      </c>
    </row>
    <row r="1608" spans="1:9" x14ac:dyDescent="0.15">
      <c r="A1608" s="26">
        <f t="shared" si="50"/>
        <v>9941</v>
      </c>
      <c r="B1608" s="27" t="s">
        <v>3410</v>
      </c>
      <c r="C1608" s="26" t="s">
        <v>1796</v>
      </c>
      <c r="D1608" s="26">
        <v>28</v>
      </c>
      <c r="E1608" s="26">
        <v>0</v>
      </c>
      <c r="F1608" s="26">
        <v>75.400000000000006</v>
      </c>
      <c r="G1608" s="26">
        <v>73.8</v>
      </c>
      <c r="I1608" s="26" t="str">
        <f t="shared" si="51"/>
        <v>Y</v>
      </c>
    </row>
    <row r="1609" spans="1:9" x14ac:dyDescent="0.15">
      <c r="A1609" s="26">
        <f t="shared" si="50"/>
        <v>9942</v>
      </c>
      <c r="B1609" s="27" t="s">
        <v>3411</v>
      </c>
      <c r="C1609" s="26" t="s">
        <v>1797</v>
      </c>
      <c r="D1609" s="26">
        <v>-12</v>
      </c>
      <c r="E1609" s="26">
        <v>51</v>
      </c>
      <c r="F1609" s="26">
        <v>87.9</v>
      </c>
      <c r="G1609" s="26">
        <v>88.83</v>
      </c>
      <c r="I1609" s="26" t="str">
        <f t="shared" si="51"/>
        <v>-</v>
      </c>
    </row>
    <row r="1610" spans="1:9" x14ac:dyDescent="0.15">
      <c r="A1610" s="26">
        <f t="shared" si="50"/>
        <v>9943</v>
      </c>
      <c r="B1610" s="27" t="s">
        <v>3412</v>
      </c>
      <c r="C1610" s="26" t="s">
        <v>1798</v>
      </c>
      <c r="D1610" s="26">
        <v>68</v>
      </c>
      <c r="E1610" s="26">
        <v>0</v>
      </c>
      <c r="F1610" s="26">
        <v>57.3</v>
      </c>
      <c r="G1610" s="26">
        <v>55.34</v>
      </c>
      <c r="I1610" s="26" t="str">
        <f t="shared" si="51"/>
        <v>Y</v>
      </c>
    </row>
    <row r="1611" spans="1:9" x14ac:dyDescent="0.15">
      <c r="A1611" s="26">
        <f t="shared" si="50"/>
        <v>9944</v>
      </c>
      <c r="B1611" s="27" t="s">
        <v>3413</v>
      </c>
      <c r="C1611" s="26" t="s">
        <v>1799</v>
      </c>
      <c r="D1611" s="26">
        <v>0</v>
      </c>
      <c r="E1611" s="26">
        <v>0</v>
      </c>
      <c r="F1611" s="26">
        <v>25.45</v>
      </c>
      <c r="G1611" s="26">
        <v>24.98</v>
      </c>
      <c r="I1611" s="26" t="str">
        <f t="shared" si="51"/>
        <v>Y</v>
      </c>
    </row>
    <row r="1612" spans="1:9" x14ac:dyDescent="0.15">
      <c r="A1612" s="26">
        <f t="shared" si="50"/>
        <v>9945</v>
      </c>
      <c r="B1612" s="27" t="s">
        <v>3414</v>
      </c>
      <c r="C1612" s="26" t="s">
        <v>1800</v>
      </c>
      <c r="D1612" s="26">
        <v>824</v>
      </c>
      <c r="E1612" s="26">
        <v>0</v>
      </c>
      <c r="F1612" s="26">
        <v>45.85</v>
      </c>
      <c r="G1612" s="26">
        <v>44.75</v>
      </c>
      <c r="I1612" s="26" t="str">
        <f t="shared" si="51"/>
        <v>Y</v>
      </c>
    </row>
    <row r="1613" spans="1:9" x14ac:dyDescent="0.15">
      <c r="A1613" s="26">
        <f t="shared" si="50"/>
        <v>9946</v>
      </c>
      <c r="B1613" s="27" t="s">
        <v>3415</v>
      </c>
      <c r="C1613" s="26" t="s">
        <v>1801</v>
      </c>
      <c r="D1613" s="26">
        <v>157</v>
      </c>
      <c r="E1613" s="26">
        <v>0</v>
      </c>
      <c r="F1613" s="26">
        <v>14.6</v>
      </c>
      <c r="G1613" s="26">
        <v>12.77</v>
      </c>
      <c r="I1613" s="26" t="str">
        <f t="shared" si="51"/>
        <v>Y</v>
      </c>
    </row>
    <row r="1614" spans="1:9" x14ac:dyDescent="0.15">
      <c r="A1614" s="26">
        <f t="shared" si="50"/>
        <v>9949</v>
      </c>
      <c r="B1614" s="27" t="s">
        <v>3416</v>
      </c>
      <c r="C1614" s="26" t="s">
        <v>1802</v>
      </c>
      <c r="D1614" s="26">
        <v>-2</v>
      </c>
      <c r="E1614" s="26">
        <v>0</v>
      </c>
      <c r="F1614" s="26">
        <v>13.45</v>
      </c>
      <c r="G1614" s="26">
        <v>13.38</v>
      </c>
      <c r="I1614" s="26" t="str">
        <f t="shared" si="51"/>
        <v>Y</v>
      </c>
    </row>
    <row r="1615" spans="1:9" x14ac:dyDescent="0.15">
      <c r="A1615" s="26">
        <f t="shared" si="50"/>
        <v>9950</v>
      </c>
      <c r="B1615" s="27" t="s">
        <v>3417</v>
      </c>
      <c r="C1615" s="26" t="s">
        <v>1803</v>
      </c>
      <c r="D1615" s="26">
        <v>0</v>
      </c>
      <c r="E1615" s="26">
        <v>0</v>
      </c>
      <c r="F1615" s="26">
        <v>19.95</v>
      </c>
      <c r="G1615" s="26">
        <v>19.84</v>
      </c>
      <c r="I1615" s="26" t="str">
        <f t="shared" si="51"/>
        <v>Y</v>
      </c>
    </row>
    <row r="1616" spans="1:9" x14ac:dyDescent="0.15">
      <c r="A1616" s="26">
        <f t="shared" si="50"/>
        <v>9951</v>
      </c>
      <c r="B1616" s="27" t="s">
        <v>3418</v>
      </c>
      <c r="C1616" s="26" t="s">
        <v>1804</v>
      </c>
      <c r="D1616" s="26">
        <v>-183</v>
      </c>
      <c r="E1616" s="26">
        <v>-117</v>
      </c>
      <c r="F1616" s="26">
        <v>166</v>
      </c>
      <c r="G1616" s="26">
        <v>176.67</v>
      </c>
      <c r="I1616" s="26" t="str">
        <f t="shared" si="51"/>
        <v>-</v>
      </c>
    </row>
    <row r="1617" spans="1:9" x14ac:dyDescent="0.15">
      <c r="A1617" s="26">
        <f t="shared" si="50"/>
        <v>9955</v>
      </c>
      <c r="B1617" s="27" t="s">
        <v>3419</v>
      </c>
      <c r="C1617" s="26" t="s">
        <v>1805</v>
      </c>
      <c r="D1617" s="26">
        <v>-13</v>
      </c>
      <c r="E1617" s="26">
        <v>0</v>
      </c>
      <c r="F1617" s="26">
        <v>14.7</v>
      </c>
      <c r="G1617" s="26">
        <v>13.48</v>
      </c>
      <c r="I1617" s="26" t="str">
        <f t="shared" si="51"/>
        <v>Y</v>
      </c>
    </row>
    <row r="1618" spans="1:9" x14ac:dyDescent="0.15">
      <c r="A1618" s="26">
        <f t="shared" si="50"/>
        <v>9958</v>
      </c>
      <c r="B1618" s="27" t="s">
        <v>3420</v>
      </c>
      <c r="C1618" s="26" t="s">
        <v>1806</v>
      </c>
      <c r="D1618" s="26">
        <v>3</v>
      </c>
      <c r="E1618" s="26">
        <v>0</v>
      </c>
      <c r="F1618" s="26">
        <v>10.65</v>
      </c>
      <c r="G1618" s="26">
        <v>10.43</v>
      </c>
      <c r="I1618" s="26" t="str">
        <f t="shared" si="51"/>
        <v>Y</v>
      </c>
    </row>
    <row r="1619" spans="1:9" x14ac:dyDescent="0.15">
      <c r="A1619" s="26">
        <f t="shared" si="50"/>
        <v>9960</v>
      </c>
      <c r="B1619" s="27" t="s">
        <v>3421</v>
      </c>
      <c r="C1619" s="26" t="s">
        <v>1807</v>
      </c>
      <c r="D1619" s="26">
        <v>0</v>
      </c>
      <c r="E1619" s="26">
        <v>0</v>
      </c>
      <c r="F1619" s="26">
        <v>18.8</v>
      </c>
      <c r="G1619" s="26">
        <v>18.87</v>
      </c>
      <c r="I1619" s="26" t="str">
        <f t="shared" si="51"/>
        <v>-</v>
      </c>
    </row>
    <row r="1620" spans="1:9" x14ac:dyDescent="0.15">
      <c r="A1620" s="26">
        <f t="shared" si="50"/>
        <v>9962</v>
      </c>
      <c r="B1620" s="27" t="s">
        <v>3422</v>
      </c>
      <c r="C1620" s="26" t="s">
        <v>1808</v>
      </c>
      <c r="D1620" s="26">
        <v>0</v>
      </c>
      <c r="E1620" s="26">
        <v>0</v>
      </c>
      <c r="F1620" s="26">
        <v>8.15</v>
      </c>
      <c r="G1620" s="26">
        <v>7.84</v>
      </c>
      <c r="I1620" s="26" t="str">
        <f t="shared" si="51"/>
        <v>Y</v>
      </c>
    </row>
    <row r="1621" spans="1:9" x14ac:dyDescent="0.15">
      <c r="A1621" s="26">
        <f t="shared" si="50"/>
        <v>0</v>
      </c>
      <c r="B1621" s="27"/>
      <c r="I1621" s="26" t="str">
        <f t="shared" si="51"/>
        <v>-</v>
      </c>
    </row>
  </sheetData>
  <autoFilter ref="A2:H3">
    <filterColumn colId="0">
      <customFilters>
        <customFilter operator="notEqual" val="*0*"/>
      </customFilters>
    </filterColumn>
    <filterColumn colId="1">
      <customFilters>
        <customFilter operator="greaterThanOrEqual" val="13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總表</vt:lpstr>
      <vt:lpstr>範本</vt:lpstr>
      <vt:lpstr>電子時報</vt:lpstr>
      <vt:lpstr>工商時報</vt:lpstr>
      <vt:lpstr>工商個股</vt:lpstr>
      <vt:lpstr>工商個股2</vt:lpstr>
      <vt:lpstr>經濟日報</vt:lpstr>
      <vt:lpstr>經濟個股</vt:lpstr>
      <vt:lpstr>法買賣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陳俊宏群益投顧管理部</dc:creator>
  <cp:lastModifiedBy>Herb</cp:lastModifiedBy>
  <cp:lastPrinted>2016-02-24T02:05:51Z</cp:lastPrinted>
  <dcterms:created xsi:type="dcterms:W3CDTF">2016-02-01T07:54:29Z</dcterms:created>
  <dcterms:modified xsi:type="dcterms:W3CDTF">2016-04-06T06:24:50Z</dcterms:modified>
</cp:coreProperties>
</file>